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an\Downloads\"/>
    </mc:Choice>
  </mc:AlternateContent>
  <xr:revisionPtr revIDLastSave="0" documentId="8_{C3448ACC-6D59-48FF-877E-8CE479BC8109}" xr6:coauthVersionLast="47" xr6:coauthVersionMax="47" xr10:uidLastSave="{00000000-0000-0000-0000-000000000000}"/>
  <bookViews>
    <workbookView xWindow="-120" yWindow="-120" windowWidth="29040" windowHeight="15720" firstSheet="1" activeTab="3" xr2:uid="{F76E0ACE-B39E-46FD-B111-37D1B3441AF5}"/>
  </bookViews>
  <sheets>
    <sheet name="Healtcare data before cleaning" sheetId="1" r:id="rId1"/>
    <sheet name="Healthcare data after cleaning" sheetId="3" r:id="rId2"/>
    <sheet name="Analysis" sheetId="13" r:id="rId3"/>
    <sheet name="Heathcare Dashboard" sheetId="15" r:id="rId4"/>
    <sheet name="Formula and Structures" sheetId="14" r:id="rId5"/>
  </sheets>
  <calcPr calcId="191029"/>
  <pivotCaches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48576" i="3" l="1"/>
  <c r="D9" i="14"/>
  <c r="J2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8AF6E8-1832-4E5A-B3CA-B77DA83FBFCF}" keepAlive="1" name="Query - Sheet3" description="Connection to the 'Sheet3' query in the workbook." type="5" refreshedVersion="8" background="1" saveData="1">
    <dbPr connection="Provider=Microsoft.Mashup.OleDb.1;Data Source=$Workbook$;Location=Sheet3;Extended Properties=&quot;&quot;" command="SELECT * FROM [Sheet3]"/>
  </connection>
</connections>
</file>

<file path=xl/sharedStrings.xml><?xml version="1.0" encoding="utf-8"?>
<sst xmlns="http://schemas.openxmlformats.org/spreadsheetml/2006/main" count="1101" uniqueCount="197">
  <si>
    <t>Patient ID</t>
  </si>
  <si>
    <t>Department</t>
  </si>
  <si>
    <t>Age</t>
  </si>
  <si>
    <t>Gender</t>
  </si>
  <si>
    <t>Diagnosis with result</t>
  </si>
  <si>
    <t>Admission Date</t>
  </si>
  <si>
    <t>Discharge Date</t>
  </si>
  <si>
    <t>Treatment Cost</t>
  </si>
  <si>
    <t>Outcome</t>
  </si>
  <si>
    <t>P001</t>
  </si>
  <si>
    <t>Cardiology</t>
  </si>
  <si>
    <t>M</t>
  </si>
  <si>
    <t>Hypertension - Stable</t>
  </si>
  <si>
    <t>Recovered</t>
  </si>
  <si>
    <t>P002</t>
  </si>
  <si>
    <t>Neurology</t>
  </si>
  <si>
    <t>F</t>
  </si>
  <si>
    <t>Migraine - Improved</t>
  </si>
  <si>
    <t>15/01/2025</t>
  </si>
  <si>
    <t>Improved</t>
  </si>
  <si>
    <t>P003</t>
  </si>
  <si>
    <t>Orthopedics</t>
  </si>
  <si>
    <t>Fracture - Healing</t>
  </si>
  <si>
    <t>Arrhythmia - Stable</t>
  </si>
  <si>
    <t>P005</t>
  </si>
  <si>
    <t>ENT</t>
  </si>
  <si>
    <t>Sinusitis - Improved</t>
  </si>
  <si>
    <t>P006</t>
  </si>
  <si>
    <t>Epilepsy - Controlled</t>
  </si>
  <si>
    <t>P007</t>
  </si>
  <si>
    <t>Arthritis - Chronic</t>
  </si>
  <si>
    <t>Not Recovered</t>
  </si>
  <si>
    <t>P008</t>
  </si>
  <si>
    <t>Tonsillitis - Resolved</t>
  </si>
  <si>
    <t>P009</t>
  </si>
  <si>
    <t>Heart Failure - Critical</t>
  </si>
  <si>
    <t>P010</t>
  </si>
  <si>
    <t>Stroke - Improving</t>
  </si>
  <si>
    <t>P011</t>
  </si>
  <si>
    <t>Joint Pain - Chronic</t>
  </si>
  <si>
    <t>P012</t>
  </si>
  <si>
    <t>Allergy - Stable</t>
  </si>
  <si>
    <t>P013</t>
  </si>
  <si>
    <t>P014</t>
  </si>
  <si>
    <t>neurology</t>
  </si>
  <si>
    <t>Seizure - Controlled</t>
  </si>
  <si>
    <t>P015</t>
  </si>
  <si>
    <t>Back Pain - Improved</t>
  </si>
  <si>
    <t>P016</t>
  </si>
  <si>
    <t>Infection - Cured</t>
  </si>
  <si>
    <t>P017</t>
  </si>
  <si>
    <t>Chest Pain - Observation</t>
  </si>
  <si>
    <t>P018</t>
  </si>
  <si>
    <t>Parkinson’s - Stable</t>
  </si>
  <si>
    <t>P019</t>
  </si>
  <si>
    <t>Fracture - Stable</t>
  </si>
  <si>
    <t>P020</t>
  </si>
  <si>
    <t>Otitis Media - Healing</t>
  </si>
  <si>
    <t>P021</t>
  </si>
  <si>
    <t>P022</t>
  </si>
  <si>
    <t>Headache - Improved</t>
  </si>
  <si>
    <t>P023</t>
  </si>
  <si>
    <t>Dislocation - Repaired</t>
  </si>
  <si>
    <t>P024</t>
  </si>
  <si>
    <t>Throat Pain - Cured</t>
  </si>
  <si>
    <t>P025</t>
  </si>
  <si>
    <t>Heart Attack - Critical</t>
  </si>
  <si>
    <t>P026</t>
  </si>
  <si>
    <t>P027</t>
  </si>
  <si>
    <t>Knee Injury - Healing</t>
  </si>
  <si>
    <t>P028</t>
  </si>
  <si>
    <t>Cold - Improved</t>
  </si>
  <si>
    <t>P029</t>
  </si>
  <si>
    <t>Valve Issue - Monitoring</t>
  </si>
  <si>
    <t>P030</t>
  </si>
  <si>
    <t>Stroke - Stable</t>
  </si>
  <si>
    <t>P031</t>
  </si>
  <si>
    <t>P032</t>
  </si>
  <si>
    <t>P033</t>
  </si>
  <si>
    <t>P034</t>
  </si>
  <si>
    <t>P035</t>
  </si>
  <si>
    <t>P036</t>
  </si>
  <si>
    <t>P037</t>
  </si>
  <si>
    <t>20-01-2025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</si>
  <si>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</si>
  <si>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</si>
  <si>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</si>
  <si>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</si>
  <si>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</si>
  <si>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</si>
  <si>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</si>
  <si>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</si>
  <si>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</si>
  <si>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</si>
  <si>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</si>
  <si>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</si>
  <si>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</si>
  <si>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</si>
  <si>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</si>
  <si>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</si>
  <si>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</si>
  <si>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</si>
  <si>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</si>
  <si>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</si>
  <si>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</si>
  <si>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</si>
  <si>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</si>
  <si>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</si>
  <si>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</si>
  <si>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</si>
  <si>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</si>
  <si>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</si>
  <si>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</si>
  <si>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</si>
  <si>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</si>
  <si>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</si>
  <si>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</si>
  <si>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</si>
  <si>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</si>
  <si>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</si>
  <si>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</si>
  <si>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</si>
  <si>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</si>
  <si>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</si>
  <si>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</si>
  <si>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</si>
  <si>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</si>
  <si>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</si>
  <si>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</si>
  <si>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</si>
  <si>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</si>
  <si>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</si>
  <si>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</si>
  <si>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</si>
  <si>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</si>
  <si>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</si>
  <si>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</si>
  <si>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</si>
  <si>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</si>
  <si>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</si>
  <si>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</si>
  <si>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</si>
  <si>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</si>
  <si>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</si>
  <si>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</si>
  <si>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</si>
  <si>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</si>
  <si>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Ent</t>
  </si>
  <si>
    <t>20/01/2025</t>
  </si>
  <si>
    <t>Length Of Stay</t>
  </si>
  <si>
    <t>Grand Total</t>
  </si>
  <si>
    <t>Sum of Treatment Cost</t>
  </si>
  <si>
    <t>Count of Diagnosis with result</t>
  </si>
  <si>
    <t>Most common disease came out of diagnosis</t>
  </si>
  <si>
    <t>Total cost per outcome</t>
  </si>
  <si>
    <t>Task</t>
  </si>
  <si>
    <t>Formula / Tool Used</t>
  </si>
  <si>
    <t>Purpose</t>
  </si>
  <si>
    <t>Example</t>
  </si>
  <si>
    <t>Average Length of Time Taken for Diagnosis</t>
  </si>
  <si>
    <t>Calculate the average number of days patients stayed</t>
  </si>
  <si>
    <t>Total Cost per Department</t>
  </si>
  <si>
    <t>Pivot Table</t>
  </si>
  <si>
    <t>Summarize total treatment cost for each department</t>
  </si>
  <si>
    <t>Insert Pivot → Rows: Department → Values: Sum of Treatment Cost</t>
  </si>
  <si>
    <t>Total Cost per Outcome</t>
  </si>
  <si>
    <t>Summarize total cost for Recovered, Improved, Not Recovered</t>
  </si>
  <si>
    <t>Insert Pivot → Rows: Outcome → Values: Sum of Cost</t>
  </si>
  <si>
    <t>Most Common Disease from Diagnosis</t>
  </si>
  <si>
    <t>Pivot Table (COUNT)</t>
  </si>
  <si>
    <t>Identify which diagnosis appears most frequently</t>
  </si>
  <si>
    <t>Convert Dates to DD/MM/YYYY Format</t>
  </si>
  <si>
    <t>Format Cells → Date</t>
  </si>
  <si>
    <t>Standardize date formats for consistency</t>
  </si>
  <si>
    <t>Home → Number → Short Date (DD/MM/YYYY)</t>
  </si>
  <si>
    <t>Length of Stay Calculation</t>
  </si>
  <si>
    <t>Calculate number of days between admission and discharge</t>
  </si>
  <si>
    <t>=AVERAGE(Discharge Date - Admission Date)</t>
  </si>
  <si>
    <t>=AVERAGE(J:J)</t>
  </si>
  <si>
    <t>Rows: Diagnosis with result → Values: Count → Sort Largest to Smallest based on count</t>
  </si>
  <si>
    <t>=(Discharge Date - Admission Date</t>
  </si>
  <si>
    <t>Replace Age with Unknown Value</t>
  </si>
  <si>
    <t>=IF(Age_column="", "Unknown", Age_column)</t>
  </si>
  <si>
    <t>Replaces The Blank spaces in the age column with "Unknown".</t>
  </si>
  <si>
    <t>=IF(C2="", "Unknown", C2)</t>
  </si>
  <si>
    <t>To remove extra spaces from text</t>
  </si>
  <si>
    <t>It remove Extra spaces before the text,Extra spaces after the text,Multiple spaces between words</t>
  </si>
  <si>
    <t>=trim(B2)</t>
  </si>
  <si>
    <t>=TRIM(cell reference)</t>
  </si>
  <si>
    <t>=PROPER(TRIM(cell refernce))</t>
  </si>
  <si>
    <t>=PROPER(TRIM(A2))</t>
  </si>
  <si>
    <t>To clean text and then convert it into proper case</t>
  </si>
  <si>
    <t>PROPER(TRIM(A2)) cleans the text and formats it in a proper case</t>
  </si>
  <si>
    <t>=AVERAGE('Healthcare data after cleaning'!J:J)</t>
  </si>
  <si>
    <t>=AVERAGE('sheet_name '!the entire Column J)</t>
  </si>
  <si>
    <t>calculate the AVERAGE of every number in column J.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</si>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</sst>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8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0" fontId="0" fillId="0" borderId="0" xfId="0" applyAlignment="1">
      <alignment wrapText="1"/>
    </xf>
    <xf numFmtId="0" fontId="0" fillId="0" borderId="0" xfId="0" quotePrefix="1" applyAlignment="1">
      <alignment wrapText="1"/>
    </xf>
    <xf numFmtId="0" fontId="0" fillId="0" borderId="0" xfId="0" quotePrefix="1"/>
    <xf numFmtId="0" fontId="3" fillId="0" borderId="0" xfId="0" applyFont="1"/>
    <xf numFmtId="0" fontId="0" fillId="2" borderId="0" xfId="0" applyFill="1"/>
    <xf numFmtId="0" fontId="4" fillId="2" borderId="0" xfId="0" applyFont="1" applyFill="1"/>
    <xf numFmtId="0" fontId="5" fillId="2" borderId="0" xfId="0" applyFont="1" applyFill="1"/>
  </cellXfs>
  <cellStyles count="1">
    <cellStyle name="Normal" xfId="0" builtinId="0"/>
  </cellStyles>
  <dxfs count="11">
    <dxf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dd/mm/yyyy;@"/>
      <alignment horizontal="center" vertical="bottom" textRotation="0" wrapText="0" indent="0" justifyLastLine="0" shrinkToFit="0" readingOrder="0"/>
    </dxf>
    <dxf>
      <numFmt numFmtId="164" formatCode="dd/mm/yyyy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jpeg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data analysis - Hospital dataset.xlsx]Analysis!PivotTable12</c:name>
    <c:fmtId val="4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baseline="0">
                <a:solidFill>
                  <a:schemeClr val="tx1"/>
                </a:solidFill>
              </a:rPr>
              <a:t>Total Cost Per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589022722491057"/>
          <c:y val="0.29468139572726387"/>
          <c:w val="0.67963632617995651"/>
          <c:h val="0.439719249682400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Analysis!$B$5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Analysis!$A$6:$A$10</c:f>
              <c:strCache>
                <c:ptCount val="4"/>
                <c:pt idx="0">
                  <c:v>Cardiology</c:v>
                </c:pt>
                <c:pt idx="1">
                  <c:v>Ent</c:v>
                </c:pt>
                <c:pt idx="2">
                  <c:v>Neurology</c:v>
                </c:pt>
                <c:pt idx="3">
                  <c:v>Orthopedics</c:v>
                </c:pt>
              </c:strCache>
            </c:strRef>
          </c:cat>
          <c:val>
            <c:numRef>
              <c:f>Analysis!$B$6:$B$10</c:f>
              <c:numCache>
                <c:formatCode>General</c:formatCode>
                <c:ptCount val="4"/>
                <c:pt idx="0">
                  <c:v>547000</c:v>
                </c:pt>
                <c:pt idx="1">
                  <c:v>73000</c:v>
                </c:pt>
                <c:pt idx="2">
                  <c:v>361000</c:v>
                </c:pt>
                <c:pt idx="3">
                  <c:v>403000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79-493A-998F-BA1FFBA0AF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22707871"/>
        <c:axId val="422705951"/>
      </c:barChart>
      <c:catAx>
        <c:axId val="422707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705951"/>
        <c:crosses val="autoZero"/>
        <c:auto val="1"/>
        <c:lblAlgn val="ctr"/>
        <c:lblOffset val="100"/>
        <c:noMultiLvlLbl val="0"/>
      </c:catAx>
      <c:valAx>
        <c:axId val="422705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707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blipFill dpi="0" rotWithShape="1">
      <a:blip xmlns:r="http://schemas.openxmlformats.org/officeDocument/2006/relationships" r:embed="rId3">
        <a:alphaModFix amt="0"/>
      </a:blip>
      <a:srcRect/>
      <a:tile tx="0" ty="0" sx="100000" sy="100000" flip="none" algn="tl"/>
    </a:blip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sz="1400" b="1">
                <a:solidFill>
                  <a:schemeClr val="tx1"/>
                </a:solidFill>
                <a:latin typeface="+mn-lt"/>
              </a:rPr>
              <a:t>Total</a:t>
            </a:r>
            <a:r>
              <a:rPr lang="en-US" sz="1400" b="1" baseline="0">
                <a:solidFill>
                  <a:schemeClr val="tx1"/>
                </a:solidFill>
                <a:latin typeface="+mn-lt"/>
              </a:rPr>
              <a:t> Cost Per Outcome</a:t>
            </a:r>
            <a:endParaRPr lang="en-US" sz="1400" b="1">
              <a:solidFill>
                <a:schemeClr val="tx1"/>
              </a:solidFill>
              <a:latin typeface="+mn-lt"/>
            </a:endParaRPr>
          </a:p>
        </c:rich>
      </c:tx>
      <c:layout>
        <c:manualLayout>
          <c:xMode val="edge"/>
          <c:yMode val="edge"/>
          <c:x val="0.30130215859401238"/>
          <c:y val="5.67032553812316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Improved</c:v>
              </c:pt>
              <c:pt idx="1">
                <c:v>Not Recovered</c:v>
              </c:pt>
              <c:pt idx="2">
                <c:v>Recovered</c:v>
              </c:pt>
            </c:strLit>
          </c:cat>
          <c:val>
            <c:numLit>
              <c:formatCode>General</c:formatCode>
              <c:ptCount val="3"/>
              <c:pt idx="0">
                <c:v>445500</c:v>
              </c:pt>
              <c:pt idx="1">
                <c:v>408000</c:v>
              </c:pt>
              <c:pt idx="2">
                <c:v>530500</c:v>
              </c:pt>
            </c:numLit>
          </c:val>
          <c:extLst>
            <c:ext xmlns:c16="http://schemas.microsoft.com/office/drawing/2014/chart" uri="{C3380CC4-5D6E-409C-BE32-E72D297353CC}">
              <c16:uniqueId val="{00000000-FFE8-40AA-9BB9-A23E48DC487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99"/>
        <c:axId val="422329743"/>
        <c:axId val="422329263"/>
      </c:barChart>
      <c:catAx>
        <c:axId val="4223297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outcome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329263"/>
        <c:crosses val="autoZero"/>
        <c:auto val="1"/>
        <c:lblAlgn val="ctr"/>
        <c:lblOffset val="100"/>
        <c:noMultiLvlLbl val="0"/>
      </c:catAx>
      <c:valAx>
        <c:axId val="422329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329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accent1">
          <a:shade val="15000"/>
          <a:alpha val="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.xml"/><Relationship Id="rId3" Type="http://schemas.openxmlformats.org/officeDocument/2006/relationships/image" Target="../media/image3.png"/><Relationship Id="rId7" Type="http://schemas.openxmlformats.org/officeDocument/2006/relationships/chart" Target="../charts/chart1.xm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10" Type="http://schemas.openxmlformats.org/officeDocument/2006/relationships/image" Target="../media/image9.svg"/><Relationship Id="rId4" Type="http://schemas.openxmlformats.org/officeDocument/2006/relationships/image" Target="../media/image4.svg"/><Relationship Id="rId9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182393</xdr:rowOff>
    </xdr:from>
    <xdr:to>
      <xdr:col>2</xdr:col>
      <xdr:colOff>273591</xdr:colOff>
      <xdr:row>3</xdr:row>
      <xdr:rowOff>10133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3B24CF73-B3A4-9A3D-1782-4E592A271057}"/>
            </a:ext>
          </a:extLst>
        </xdr:cNvPr>
        <xdr:cNvSpPr/>
      </xdr:nvSpPr>
      <xdr:spPr>
        <a:xfrm>
          <a:off x="0" y="374920"/>
          <a:ext cx="2583910" cy="314123"/>
        </a:xfrm>
        <a:prstGeom prst="round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>
              <a:solidFill>
                <a:sysClr val="windowText" lastClr="000000"/>
              </a:solidFill>
            </a:rPr>
            <a:t>Total cost per department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45356</xdr:colOff>
      <xdr:row>3</xdr:row>
      <xdr:rowOff>173717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8CB7A2F6-8012-7283-0D16-CF62627E523C}"/>
            </a:ext>
          </a:extLst>
        </xdr:cNvPr>
        <xdr:cNvSpPr/>
      </xdr:nvSpPr>
      <xdr:spPr>
        <a:xfrm>
          <a:off x="0" y="0"/>
          <a:ext cx="10454820" cy="752021"/>
        </a:xfrm>
        <a:prstGeom prst="roundRect">
          <a:avLst/>
        </a:prstGeom>
        <a:ln>
          <a:solidFill>
            <a:schemeClr val="tx1"/>
          </a:solidFill>
        </a:ln>
        <a:effectLst>
          <a:glow rad="63500">
            <a:schemeClr val="accent1">
              <a:satMod val="17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228600</xdr:colOff>
      <xdr:row>5</xdr:row>
      <xdr:rowOff>171451</xdr:rowOff>
    </xdr:from>
    <xdr:to>
      <xdr:col>4</xdr:col>
      <xdr:colOff>371475</xdr:colOff>
      <xdr:row>10</xdr:row>
      <xdr:rowOff>1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0636E2AB-A176-F852-A708-7B096CE67E74}"/>
            </a:ext>
          </a:extLst>
        </xdr:cNvPr>
        <xdr:cNvSpPr/>
      </xdr:nvSpPr>
      <xdr:spPr>
        <a:xfrm>
          <a:off x="228600" y="1123951"/>
          <a:ext cx="2581275" cy="781050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    </a:t>
          </a:r>
        </a:p>
        <a:p>
          <a:pPr algn="ctr"/>
          <a:r>
            <a:rPr lang="en-US" sz="1200" b="1">
              <a:solidFill>
                <a:sysClr val="windowText" lastClr="000000"/>
              </a:solidFill>
              <a:latin typeface="+mn-lt"/>
            </a:rPr>
            <a:t>TOTAL NO OF</a:t>
          </a:r>
          <a:r>
            <a:rPr lang="en-US" sz="1200" b="1" baseline="0">
              <a:solidFill>
                <a:sysClr val="windowText" lastClr="000000"/>
              </a:solidFill>
              <a:latin typeface="+mn-lt"/>
            </a:rPr>
            <a:t> FEMALE</a:t>
          </a:r>
          <a:endParaRPr lang="en-US" sz="1200" b="1">
            <a:solidFill>
              <a:sysClr val="windowText" lastClr="000000"/>
            </a:solidFill>
            <a:latin typeface="+mn-lt"/>
          </a:endParaRPr>
        </a:p>
      </xdr:txBody>
    </xdr:sp>
    <xdr:clientData/>
  </xdr:twoCellAnchor>
  <xdr:twoCellAnchor editAs="oneCell">
    <xdr:from>
      <xdr:col>0</xdr:col>
      <xdr:colOff>257175</xdr:colOff>
      <xdr:row>6</xdr:row>
      <xdr:rowOff>85725</xdr:rowOff>
    </xdr:from>
    <xdr:to>
      <xdr:col>1</xdr:col>
      <xdr:colOff>219075</xdr:colOff>
      <xdr:row>9</xdr:row>
      <xdr:rowOff>85725</xdr:rowOff>
    </xdr:to>
    <xdr:pic>
      <xdr:nvPicPr>
        <xdr:cNvPr id="6" name="Graphic 5" descr="Woman with solid fill">
          <a:extLst>
            <a:ext uri="{FF2B5EF4-FFF2-40B4-BE49-F238E27FC236}">
              <a16:creationId xmlns:a16="http://schemas.microsoft.com/office/drawing/2014/main" id="{A2F0ECBE-8BA0-0AA5-74B4-6EC1E557C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57175" y="1228725"/>
          <a:ext cx="571500" cy="571500"/>
        </a:xfrm>
        <a:prstGeom prst="rect">
          <a:avLst/>
        </a:prstGeom>
      </xdr:spPr>
    </xdr:pic>
    <xdr:clientData/>
  </xdr:twoCellAnchor>
  <xdr:twoCellAnchor>
    <xdr:from>
      <xdr:col>1</xdr:col>
      <xdr:colOff>135165</xdr:colOff>
      <xdr:row>0</xdr:row>
      <xdr:rowOff>146957</xdr:rowOff>
    </xdr:from>
    <xdr:to>
      <xdr:col>14</xdr:col>
      <xdr:colOff>556986</xdr:colOff>
      <xdr:row>3</xdr:row>
      <xdr:rowOff>32657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E77D24C9-4C6F-D12E-C148-FBDD167DD0D6}"/>
            </a:ext>
          </a:extLst>
        </xdr:cNvPr>
        <xdr:cNvSpPr/>
      </xdr:nvSpPr>
      <xdr:spPr>
        <a:xfrm>
          <a:off x="747486" y="146957"/>
          <a:ext cx="8382000" cy="464004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  </a:t>
          </a:r>
          <a:r>
            <a:rPr lang="en-US" sz="2000" b="1">
              <a:solidFill>
                <a:sysClr val="windowText" lastClr="000000"/>
              </a:solidFill>
              <a:latin typeface="Algerian" panose="04020705040A02060702" pitchFamily="82" charset="0"/>
            </a:rPr>
            <a:t>HOSPITAL PATIENT</a:t>
          </a:r>
          <a:r>
            <a:rPr lang="en-US" sz="2000" b="1" baseline="0">
              <a:solidFill>
                <a:sysClr val="windowText" lastClr="000000"/>
              </a:solidFill>
              <a:latin typeface="Algerian" panose="04020705040A02060702" pitchFamily="82" charset="0"/>
            </a:rPr>
            <a:t> ANALYSIS</a:t>
          </a:r>
          <a:endParaRPr lang="en-US" sz="2000" b="1">
            <a:solidFill>
              <a:sysClr val="windowText" lastClr="000000"/>
            </a:solidFill>
            <a:latin typeface="Algerian" panose="04020705040A02060702" pitchFamily="82" charset="0"/>
          </a:endParaRPr>
        </a:p>
      </xdr:txBody>
    </xdr:sp>
    <xdr:clientData/>
  </xdr:twoCellAnchor>
  <xdr:twoCellAnchor>
    <xdr:from>
      <xdr:col>5</xdr:col>
      <xdr:colOff>38100</xdr:colOff>
      <xdr:row>6</xdr:row>
      <xdr:rowOff>0</xdr:rowOff>
    </xdr:from>
    <xdr:to>
      <xdr:col>9</xdr:col>
      <xdr:colOff>180975</xdr:colOff>
      <xdr:row>10</xdr:row>
      <xdr:rowOff>19050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40401BEC-9AC9-4820-B59B-D48956935E41}"/>
            </a:ext>
          </a:extLst>
        </xdr:cNvPr>
        <xdr:cNvSpPr/>
      </xdr:nvSpPr>
      <xdr:spPr>
        <a:xfrm>
          <a:off x="3086100" y="1143000"/>
          <a:ext cx="2581275" cy="781050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    </a:t>
          </a:r>
        </a:p>
        <a:p>
          <a:pPr algn="ctr"/>
          <a:r>
            <a:rPr lang="en-US" sz="1200" b="1">
              <a:solidFill>
                <a:sysClr val="windowText" lastClr="000000"/>
              </a:solidFill>
              <a:latin typeface="+mn-lt"/>
            </a:rPr>
            <a:t>TOTAL NO OF</a:t>
          </a:r>
          <a:r>
            <a:rPr lang="en-US" sz="1200" b="1" baseline="0">
              <a:solidFill>
                <a:sysClr val="windowText" lastClr="000000"/>
              </a:solidFill>
              <a:latin typeface="+mn-lt"/>
            </a:rPr>
            <a:t> MALE</a:t>
          </a:r>
          <a:endParaRPr lang="en-US" sz="1200" b="1">
            <a:solidFill>
              <a:sysClr val="windowText" lastClr="000000"/>
            </a:solidFill>
            <a:latin typeface="+mn-lt"/>
          </a:endParaRPr>
        </a:p>
      </xdr:txBody>
    </xdr:sp>
    <xdr:clientData/>
  </xdr:twoCellAnchor>
  <xdr:twoCellAnchor editAs="oneCell">
    <xdr:from>
      <xdr:col>5</xdr:col>
      <xdr:colOff>47625</xdr:colOff>
      <xdr:row>6</xdr:row>
      <xdr:rowOff>66675</xdr:rowOff>
    </xdr:from>
    <xdr:to>
      <xdr:col>6</xdr:col>
      <xdr:colOff>66675</xdr:colOff>
      <xdr:row>9</xdr:row>
      <xdr:rowOff>123825</xdr:rowOff>
    </xdr:to>
    <xdr:pic>
      <xdr:nvPicPr>
        <xdr:cNvPr id="10" name="Graphic 9" descr="Man with solid fill">
          <a:extLst>
            <a:ext uri="{FF2B5EF4-FFF2-40B4-BE49-F238E27FC236}">
              <a16:creationId xmlns:a16="http://schemas.microsoft.com/office/drawing/2014/main" id="{5E70E467-9B97-D6B5-3F9A-5028968EF6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095625" y="1209675"/>
          <a:ext cx="628650" cy="628650"/>
        </a:xfrm>
        <a:prstGeom prst="rect">
          <a:avLst/>
        </a:prstGeom>
      </xdr:spPr>
    </xdr:pic>
    <xdr:clientData/>
  </xdr:twoCellAnchor>
  <xdr:oneCellAnchor>
    <xdr:from>
      <xdr:col>1</xdr:col>
      <xdr:colOff>590550</xdr:colOff>
      <xdr:row>9</xdr:row>
      <xdr:rowOff>66675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45369FB-8720-9D55-505A-7CA233E04DE3}"/>
            </a:ext>
          </a:extLst>
        </xdr:cNvPr>
        <xdr:cNvSpPr txBox="1"/>
      </xdr:nvSpPr>
      <xdr:spPr>
        <a:xfrm>
          <a:off x="1200150" y="1781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571501</xdr:colOff>
      <xdr:row>8</xdr:row>
      <xdr:rowOff>171450</xdr:rowOff>
    </xdr:from>
    <xdr:ext cx="213306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5BE1C24-37E7-95EE-1A01-9992B96E574A}"/>
            </a:ext>
          </a:extLst>
        </xdr:cNvPr>
        <xdr:cNvSpPr txBox="1"/>
      </xdr:nvSpPr>
      <xdr:spPr>
        <a:xfrm>
          <a:off x="1181101" y="1695450"/>
          <a:ext cx="21330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581025</xdr:colOff>
      <xdr:row>8</xdr:row>
      <xdr:rowOff>38100</xdr:rowOff>
    </xdr:from>
    <xdr:ext cx="366639" cy="311496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DB74813-83D4-5604-76BD-53133A84BFC7}"/>
            </a:ext>
          </a:extLst>
        </xdr:cNvPr>
        <xdr:cNvSpPr txBox="1"/>
      </xdr:nvSpPr>
      <xdr:spPr>
        <a:xfrm>
          <a:off x="1190625" y="1562100"/>
          <a:ext cx="366639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/>
            <a:t>52</a:t>
          </a:r>
        </a:p>
      </xdr:txBody>
    </xdr:sp>
    <xdr:clientData/>
  </xdr:oneCellAnchor>
  <xdr:oneCellAnchor>
    <xdr:from>
      <xdr:col>6</xdr:col>
      <xdr:colOff>476250</xdr:colOff>
      <xdr:row>8</xdr:row>
      <xdr:rowOff>19050</xdr:rowOff>
    </xdr:from>
    <xdr:ext cx="366639" cy="311496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6950B5F-C658-B5FA-0C85-E28A9A551216}"/>
            </a:ext>
          </a:extLst>
        </xdr:cNvPr>
        <xdr:cNvSpPr txBox="1"/>
      </xdr:nvSpPr>
      <xdr:spPr>
        <a:xfrm>
          <a:off x="4133850" y="1543050"/>
          <a:ext cx="366639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/>
            <a:t>47</a:t>
          </a:r>
        </a:p>
      </xdr:txBody>
    </xdr:sp>
    <xdr:clientData/>
  </xdr:oneCellAnchor>
  <xdr:twoCellAnchor>
    <xdr:from>
      <xdr:col>9</xdr:col>
      <xdr:colOff>400050</xdr:colOff>
      <xdr:row>5</xdr:row>
      <xdr:rowOff>171450</xdr:rowOff>
    </xdr:from>
    <xdr:to>
      <xdr:col>14</xdr:col>
      <xdr:colOff>200025</xdr:colOff>
      <xdr:row>9</xdr:row>
      <xdr:rowOff>171450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67B83EF3-6009-4774-8399-C8345781C50B}"/>
            </a:ext>
          </a:extLst>
        </xdr:cNvPr>
        <xdr:cNvSpPr/>
      </xdr:nvSpPr>
      <xdr:spPr>
        <a:xfrm>
          <a:off x="5886450" y="1123950"/>
          <a:ext cx="2847975" cy="762000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    </a:t>
          </a:r>
        </a:p>
        <a:p>
          <a:pPr algn="ctr"/>
          <a:r>
            <a:rPr lang="en-US" sz="1200" b="1">
              <a:solidFill>
                <a:sysClr val="windowText" lastClr="000000"/>
              </a:solidFill>
              <a:latin typeface="+mn-lt"/>
            </a:rPr>
            <a:t>   TOTAL NO OF</a:t>
          </a:r>
          <a:r>
            <a:rPr lang="en-US" sz="1200" b="1" baseline="0">
              <a:solidFill>
                <a:sysClr val="windowText" lastClr="000000"/>
              </a:solidFill>
              <a:latin typeface="+mn-lt"/>
            </a:rPr>
            <a:t> TREATMENT COST</a:t>
          </a:r>
          <a:endParaRPr lang="en-US" sz="1200" b="1">
            <a:solidFill>
              <a:sysClr val="windowText" lastClr="000000"/>
            </a:solidFill>
            <a:latin typeface="+mn-lt"/>
          </a:endParaRPr>
        </a:p>
      </xdr:txBody>
    </xdr:sp>
    <xdr:clientData/>
  </xdr:twoCellAnchor>
  <xdr:twoCellAnchor editAs="oneCell">
    <xdr:from>
      <xdr:col>9</xdr:col>
      <xdr:colOff>295275</xdr:colOff>
      <xdr:row>6</xdr:row>
      <xdr:rowOff>28574</xdr:rowOff>
    </xdr:from>
    <xdr:to>
      <xdr:col>10</xdr:col>
      <xdr:colOff>400050</xdr:colOff>
      <xdr:row>9</xdr:row>
      <xdr:rowOff>171449</xdr:rowOff>
    </xdr:to>
    <xdr:pic>
      <xdr:nvPicPr>
        <xdr:cNvPr id="21" name="Graphic 20" descr="Dollar with solid fill">
          <a:extLst>
            <a:ext uri="{FF2B5EF4-FFF2-40B4-BE49-F238E27FC236}">
              <a16:creationId xmlns:a16="http://schemas.microsoft.com/office/drawing/2014/main" id="{970E1177-6EFD-DD3A-59DA-C1186EBDE8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5781675" y="1171574"/>
          <a:ext cx="714375" cy="714375"/>
        </a:xfrm>
        <a:prstGeom prst="rect">
          <a:avLst/>
        </a:prstGeom>
      </xdr:spPr>
    </xdr:pic>
    <xdr:clientData/>
  </xdr:twoCellAnchor>
  <xdr:oneCellAnchor>
    <xdr:from>
      <xdr:col>11</xdr:col>
      <xdr:colOff>219075</xdr:colOff>
      <xdr:row>8</xdr:row>
      <xdr:rowOff>9525</xdr:rowOff>
    </xdr:from>
    <xdr:ext cx="730585" cy="311496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401DD90D-8D7F-59F6-D0D0-FF180C6A5EAA}"/>
            </a:ext>
          </a:extLst>
        </xdr:cNvPr>
        <xdr:cNvSpPr txBox="1"/>
      </xdr:nvSpPr>
      <xdr:spPr>
        <a:xfrm>
          <a:off x="6924675" y="1533525"/>
          <a:ext cx="73058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/>
            <a:t>848000</a:t>
          </a:r>
        </a:p>
      </xdr:txBody>
    </xdr:sp>
    <xdr:clientData/>
  </xdr:oneCellAnchor>
  <xdr:twoCellAnchor>
    <xdr:from>
      <xdr:col>0</xdr:col>
      <xdr:colOff>123825</xdr:colOff>
      <xdr:row>12</xdr:row>
      <xdr:rowOff>19050</xdr:rowOff>
    </xdr:from>
    <xdr:to>
      <xdr:col>8</xdr:col>
      <xdr:colOff>76200</xdr:colOff>
      <xdr:row>26</xdr:row>
      <xdr:rowOff>85725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D03C1528-1133-4858-E5E3-F2816AD8A08C}"/>
            </a:ext>
          </a:extLst>
        </xdr:cNvPr>
        <xdr:cNvSpPr/>
      </xdr:nvSpPr>
      <xdr:spPr>
        <a:xfrm>
          <a:off x="123825" y="2305050"/>
          <a:ext cx="4829175" cy="2733675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371475</xdr:colOff>
      <xdr:row>12</xdr:row>
      <xdr:rowOff>28575</xdr:rowOff>
    </xdr:from>
    <xdr:to>
      <xdr:col>8</xdr:col>
      <xdr:colOff>57555</xdr:colOff>
      <xdr:row>26</xdr:row>
      <xdr:rowOff>133148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EFB2FDC2-7D73-41F1-9BF4-38DA6A7FB7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428624</xdr:colOff>
      <xdr:row>12</xdr:row>
      <xdr:rowOff>57149</xdr:rowOff>
    </xdr:from>
    <xdr:to>
      <xdr:col>16</xdr:col>
      <xdr:colOff>457200</xdr:colOff>
      <xdr:row>26</xdr:row>
      <xdr:rowOff>76200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5A39C7EF-054D-DC44-AE15-9C467C60DF8C}"/>
            </a:ext>
          </a:extLst>
        </xdr:cNvPr>
        <xdr:cNvSpPr/>
      </xdr:nvSpPr>
      <xdr:spPr>
        <a:xfrm>
          <a:off x="5305424" y="2343149"/>
          <a:ext cx="4905376" cy="2686051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47625</xdr:colOff>
      <xdr:row>12</xdr:row>
      <xdr:rowOff>161924</xdr:rowOff>
    </xdr:from>
    <xdr:to>
      <xdr:col>16</xdr:col>
      <xdr:colOff>114301</xdr:colOff>
      <xdr:row>25</xdr:row>
      <xdr:rowOff>123825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D01AE013-FE96-4318-995D-24A8971771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4</xdr:col>
      <xdr:colOff>215445</xdr:colOff>
      <xdr:row>0</xdr:row>
      <xdr:rowOff>136072</xdr:rowOff>
    </xdr:from>
    <xdr:to>
      <xdr:col>5</xdr:col>
      <xdr:colOff>52614</xdr:colOff>
      <xdr:row>3</xdr:row>
      <xdr:rowOff>7258</xdr:rowOff>
    </xdr:to>
    <xdr:pic>
      <xdr:nvPicPr>
        <xdr:cNvPr id="30" name="Graphic 29" descr="Medical with solid fill">
          <a:extLst>
            <a:ext uri="{FF2B5EF4-FFF2-40B4-BE49-F238E27FC236}">
              <a16:creationId xmlns:a16="http://schemas.microsoft.com/office/drawing/2014/main" id="{3EBE1BD8-977F-719C-C326-A3389FF3FF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2664731" y="136072"/>
          <a:ext cx="449490" cy="44949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NANI JANANI" refreshedDate="45983.026419212962" createdVersion="8" refreshedVersion="8" minRefreshableVersion="3" recordCount="99" xr:uid="{9C03E98C-ED5D-470E-84DB-0E41BB739B79}">
  <cacheSource type="worksheet">
    <worksheetSource name="Table2"/>
  </cacheSource>
  <cacheFields count="10">
    <cacheField name="Patient ID" numFmtId="0">
      <sharedItems count="99">
        <s v="P001"/>
        <s v="P002"/>
        <s v="P003"/>
        <s v="P005"/>
        <s v="P006"/>
        <s v="P007"/>
        <s v="P008"/>
        <s v="P009"/>
        <s v="P010"/>
        <s v="P011"/>
        <s v="P012"/>
        <s v="P013"/>
        <s v="P014"/>
        <s v="P015"/>
        <s v="P016"/>
        <s v="P017"/>
        <s v="P018"/>
        <s v="P019"/>
        <s v="P020"/>
        <s v="P021"/>
        <s v="P022"/>
        <s v="P023"/>
        <s v="P024"/>
        <s v="P025"/>
        <s v="P026"/>
        <s v="P027"/>
        <s v="P028"/>
        <s v="P029"/>
        <s v="P030"/>
        <s v="P031"/>
        <s v="P032"/>
        <s v="P033"/>
        <s v="P034"/>
        <s v="P035"/>
        <s v="P036"/>
        <s v="P037"/>
        <s v="P038"/>
        <s v="P039"/>
        <s v="P040"/>
        <s v="P041"/>
        <s v="P042"/>
        <s v="P043"/>
        <s v="P044"/>
        <s v="P045"/>
        <s v="P046"/>
        <s v="P047"/>
        <s v="P048"/>
        <s v="P049"/>
        <s v="P050"/>
        <s v="P051"/>
        <s v="P052"/>
        <s v="P053"/>
        <s v="P054"/>
        <s v="P055"/>
        <s v="P056"/>
        <s v="P057"/>
        <s v="P058"/>
        <s v="P059"/>
        <s v="P060"/>
        <s v="P061"/>
        <s v="P062"/>
        <s v="P063"/>
        <s v="P064"/>
        <s v="P065"/>
        <s v="P066"/>
        <s v="P067"/>
        <s v="P068"/>
        <s v="P069"/>
        <s v="P070"/>
        <s v="P071"/>
        <s v="P072"/>
        <s v="P073"/>
        <s v="P074"/>
        <s v="P075"/>
        <s v="P076"/>
        <s v="P077"/>
        <s v="P078"/>
        <s v="P079"/>
        <s v="P080"/>
        <s v="P081"/>
        <s v="P082"/>
        <s v="P083"/>
        <s v="P084"/>
        <s v="P085"/>
        <s v="P086"/>
        <s v="P087"/>
        <s v="P088"/>
        <s v="P089"/>
        <s v="P090"/>
        <s v="P091"/>
        <s v="P092"/>
        <s v="P093"/>
        <s v="P094"/>
        <s v="P095"/>
        <s v="P096"/>
        <s v="P097"/>
        <s v="P098"/>
        <s v="P099"/>
        <s v="P100"/>
      </sharedItems>
    </cacheField>
    <cacheField name="Age" numFmtId="0">
      <sharedItems containsString="0" containsBlank="1" containsNumber="1" containsInteger="1" minValue="22" maxValue="75"/>
    </cacheField>
    <cacheField name="Gender" numFmtId="0">
      <sharedItems/>
    </cacheField>
    <cacheField name="Diagnosis with result" numFmtId="0">
      <sharedItems count="27">
        <s v="Hypertension - Stable"/>
        <s v="Migraine - Improved"/>
        <s v="Fracture - Healing"/>
        <s v="Sinusitis - Improved"/>
        <s v="Epilepsy - Controlled"/>
        <s v="Arthritis - Chronic"/>
        <s v="Tonsillitis - Resolved"/>
        <s v="Heart Failure - Critical"/>
        <s v="Stroke - Improving"/>
        <s v="Joint Pain - Chronic"/>
        <s v="Allergy - Stable"/>
        <s v="Seizure - Controlled"/>
        <s v="Back Pain - Improved"/>
        <s v="Infection - Cured"/>
        <s v="Chest Pain - Observation"/>
        <s v="Parkinson’s - Stable"/>
        <s v="Fracture - Stable"/>
        <s v="Otitis Media - Healing"/>
        <s v="Arrhythmia - Stable"/>
        <s v="Headache - Improved"/>
        <s v="Dislocation - Repaired"/>
        <s v="Throat Pain - Cured"/>
        <s v="Heart Attack - Critical"/>
        <s v="Knee Injury - Healing"/>
        <s v="Cold - Improved"/>
        <s v="Valve Issue - Monitoring"/>
        <s v="Stroke - Stable"/>
      </sharedItems>
    </cacheField>
    <cacheField name="Admission Date" numFmtId="164">
      <sharedItems containsSemiMixedTypes="0" containsNonDate="0" containsDate="1" containsString="0" minDate="2025-01-02T00:00:00" maxDate="2025-01-22T00:00:00"/>
    </cacheField>
    <cacheField name="Discharge Date" numFmtId="164">
      <sharedItems containsDate="1" containsMixedTypes="1" minDate="2025-01-03T00:00:00" maxDate="2025-01-28T00:00:00"/>
    </cacheField>
    <cacheField name="Treatment Cost" numFmtId="0">
      <sharedItems containsString="0" containsBlank="1" containsNumber="1" containsInteger="1" minValue="1500" maxValue="50000" count="26">
        <n v="15000"/>
        <n v="8000"/>
        <n v="20000"/>
        <n v="5000"/>
        <n v="12000"/>
        <n v="16000"/>
        <n v="4500"/>
        <n v="40000"/>
        <n v="25000"/>
        <n v="14000"/>
        <n v="3000"/>
        <n v="11000"/>
        <n v="13000"/>
        <n v="3500"/>
        <n v="2000"/>
        <n v="30000"/>
        <n v="21000"/>
        <n v="9000"/>
        <n v="6000"/>
        <n v="17000"/>
        <n v="2500"/>
        <n v="50000"/>
        <n v="18000"/>
        <n v="1500"/>
        <n v="28000"/>
        <m/>
      </sharedItems>
    </cacheField>
    <cacheField name="Outcome" numFmtId="0">
      <sharedItems count="3">
        <s v="Recovered"/>
        <s v="Improved"/>
        <s v="Not Recovered"/>
      </sharedItems>
    </cacheField>
    <cacheField name="Department" numFmtId="0">
      <sharedItems count="4">
        <s v="Cardiology"/>
        <s v="Neurology"/>
        <s v="Orthopedics"/>
        <s v="Ent"/>
      </sharedItems>
    </cacheField>
    <cacheField name="Length Of Stay" numFmtId="0">
      <sharedItems containsSemiMixedTypes="0" containsString="0" containsNumber="1" containsInteger="1" minValue="0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">
  <r>
    <x v="0"/>
    <n v="56"/>
    <s v="M"/>
    <x v="0"/>
    <d v="2025-01-12T00:00:00"/>
    <d v="2025-01-15T00:00:00"/>
    <x v="0"/>
    <x v="0"/>
    <x v="0"/>
    <n v="3"/>
  </r>
  <r>
    <x v="1"/>
    <n v="45"/>
    <s v="F"/>
    <x v="1"/>
    <d v="2025-01-12T00:00:00"/>
    <s v="15/01/2025"/>
    <x v="1"/>
    <x v="1"/>
    <x v="1"/>
    <n v="3"/>
  </r>
  <r>
    <x v="2"/>
    <n v="67"/>
    <s v="M"/>
    <x v="2"/>
    <d v="2025-01-05T00:00:00"/>
    <d v="2025-01-10T00:00:00"/>
    <x v="2"/>
    <x v="0"/>
    <x v="2"/>
    <n v="5"/>
  </r>
  <r>
    <x v="3"/>
    <n v="34"/>
    <s v="M"/>
    <x v="3"/>
    <d v="2025-01-08T00:00:00"/>
    <d v="2025-01-09T00:00:00"/>
    <x v="3"/>
    <x v="1"/>
    <x v="3"/>
    <n v="1"/>
  </r>
  <r>
    <x v="4"/>
    <n v="29"/>
    <s v="F"/>
    <x v="4"/>
    <d v="2025-01-11T00:00:00"/>
    <d v="2025-01-14T00:00:00"/>
    <x v="4"/>
    <x v="0"/>
    <x v="1"/>
    <n v="3"/>
  </r>
  <r>
    <x v="5"/>
    <n v="52"/>
    <s v="M"/>
    <x v="5"/>
    <d v="2025-01-02T00:00:00"/>
    <d v="2025-01-05T00:00:00"/>
    <x v="5"/>
    <x v="2"/>
    <x v="2"/>
    <n v="3"/>
  </r>
  <r>
    <x v="6"/>
    <n v="41"/>
    <s v="F"/>
    <x v="6"/>
    <d v="2025-01-18T00:00:00"/>
    <d v="2025-01-19T00:00:00"/>
    <x v="6"/>
    <x v="0"/>
    <x v="3"/>
    <n v="1"/>
  </r>
  <r>
    <x v="7"/>
    <n v="73"/>
    <s v="M"/>
    <x v="7"/>
    <d v="2025-01-10T00:00:00"/>
    <d v="2025-01-20T00:00:00"/>
    <x v="7"/>
    <x v="2"/>
    <x v="0"/>
    <n v="10"/>
  </r>
  <r>
    <x v="8"/>
    <n v="39"/>
    <s v="F"/>
    <x v="8"/>
    <d v="2025-01-15T00:00:00"/>
    <d v="2025-01-22T00:00:00"/>
    <x v="8"/>
    <x v="1"/>
    <x v="1"/>
    <n v="7"/>
  </r>
  <r>
    <x v="9"/>
    <n v="61"/>
    <s v="M"/>
    <x v="9"/>
    <d v="2025-01-09T00:00:00"/>
    <d v="2025-01-12T00:00:00"/>
    <x v="9"/>
    <x v="1"/>
    <x v="2"/>
    <n v="3"/>
  </r>
  <r>
    <x v="10"/>
    <n v="28"/>
    <s v="F"/>
    <x v="10"/>
    <d v="2025-01-13T00:00:00"/>
    <d v="2025-01-14T00:00:00"/>
    <x v="10"/>
    <x v="0"/>
    <x v="3"/>
    <n v="1"/>
  </r>
  <r>
    <x v="11"/>
    <n v="66"/>
    <s v="M"/>
    <x v="0"/>
    <d v="2025-01-04T00:00:00"/>
    <d v="2025-01-08T00:00:00"/>
    <x v="0"/>
    <x v="0"/>
    <x v="0"/>
    <n v="4"/>
  </r>
  <r>
    <x v="12"/>
    <n v="44"/>
    <s v="F"/>
    <x v="11"/>
    <d v="2025-01-07T00:00:00"/>
    <d v="2025-01-10T00:00:00"/>
    <x v="11"/>
    <x v="0"/>
    <x v="1"/>
    <n v="3"/>
  </r>
  <r>
    <x v="13"/>
    <n v="50"/>
    <s v="M"/>
    <x v="12"/>
    <d v="2025-01-21T00:00:00"/>
    <d v="2025-01-25T00:00:00"/>
    <x v="12"/>
    <x v="1"/>
    <x v="2"/>
    <n v="4"/>
  </r>
  <r>
    <x v="14"/>
    <n v="37"/>
    <s v="F"/>
    <x v="13"/>
    <d v="2025-01-16T00:00:00"/>
    <d v="2025-01-17T00:00:00"/>
    <x v="13"/>
    <x v="0"/>
    <x v="3"/>
    <n v="1"/>
  </r>
  <r>
    <x v="15"/>
    <m/>
    <s v="M"/>
    <x v="14"/>
    <d v="2025-01-18T00:00:00"/>
    <d v="2025-01-18T00:00:00"/>
    <x v="14"/>
    <x v="0"/>
    <x v="0"/>
    <n v="0"/>
  </r>
  <r>
    <x v="16"/>
    <n v="72"/>
    <s v="F"/>
    <x v="15"/>
    <d v="2025-01-12T00:00:00"/>
    <d v="2025-01-16T00:00:00"/>
    <x v="15"/>
    <x v="1"/>
    <x v="1"/>
    <n v="4"/>
  </r>
  <r>
    <x v="17"/>
    <n v="64"/>
    <s v="M"/>
    <x v="16"/>
    <d v="2025-01-06T00:00:00"/>
    <d v="2025-01-11T00:00:00"/>
    <x v="16"/>
    <x v="0"/>
    <x v="2"/>
    <n v="5"/>
  </r>
  <r>
    <x v="18"/>
    <n v="25"/>
    <s v="F"/>
    <x v="17"/>
    <d v="2025-01-14T00:00:00"/>
    <d v="2025-01-15T00:00:00"/>
    <x v="6"/>
    <x v="1"/>
    <x v="3"/>
    <n v="1"/>
  </r>
  <r>
    <x v="19"/>
    <n v="59"/>
    <s v="M"/>
    <x v="18"/>
    <d v="2025-01-02T00:00:00"/>
    <d v="2025-01-03T00:00:00"/>
    <x v="17"/>
    <x v="0"/>
    <x v="0"/>
    <n v="1"/>
  </r>
  <r>
    <x v="20"/>
    <n v="47"/>
    <s v="F"/>
    <x v="19"/>
    <d v="2025-01-09T00:00:00"/>
    <d v="2025-01-10T00:00:00"/>
    <x v="18"/>
    <x v="1"/>
    <x v="1"/>
    <n v="1"/>
  </r>
  <r>
    <x v="21"/>
    <n v="53"/>
    <s v="M"/>
    <x v="20"/>
    <d v="2025-01-10T00:00:00"/>
    <d v="2025-01-13T00:00:00"/>
    <x v="19"/>
    <x v="0"/>
    <x v="2"/>
    <n v="3"/>
  </r>
  <r>
    <x v="22"/>
    <n v="30"/>
    <s v="F"/>
    <x v="21"/>
    <d v="2025-01-11T00:00:00"/>
    <d v="2025-01-11T00:00:00"/>
    <x v="20"/>
    <x v="0"/>
    <x v="3"/>
    <n v="0"/>
  </r>
  <r>
    <x v="23"/>
    <n v="68"/>
    <s v="M"/>
    <x v="22"/>
    <d v="2025-01-17T00:00:00"/>
    <d v="2025-01-27T00:00:00"/>
    <x v="21"/>
    <x v="2"/>
    <x v="0"/>
    <n v="10"/>
  </r>
  <r>
    <x v="24"/>
    <n v="34"/>
    <s v="F"/>
    <x v="11"/>
    <d v="2025-01-16T00:00:00"/>
    <d v="2025-01-19T00:00:00"/>
    <x v="4"/>
    <x v="1"/>
    <x v="1"/>
    <n v="3"/>
  </r>
  <r>
    <x v="25"/>
    <n v="49"/>
    <s v="M"/>
    <x v="23"/>
    <d v="2025-01-03T00:00:00"/>
    <d v="2025-01-07T00:00:00"/>
    <x v="22"/>
    <x v="0"/>
    <x v="2"/>
    <n v="4"/>
  </r>
  <r>
    <x v="26"/>
    <n v="22"/>
    <s v="F"/>
    <x v="24"/>
    <d v="2025-01-05T00:00:00"/>
    <d v="2025-01-05T00:00:00"/>
    <x v="23"/>
    <x v="0"/>
    <x v="3"/>
    <n v="0"/>
  </r>
  <r>
    <x v="27"/>
    <n v="75"/>
    <s v="M"/>
    <x v="25"/>
    <d v="2025-01-13T00:00:00"/>
    <d v="2025-01-18T00:00:00"/>
    <x v="8"/>
    <x v="1"/>
    <x v="0"/>
    <n v="5"/>
  </r>
  <r>
    <x v="28"/>
    <n v="57"/>
    <s v="F"/>
    <x v="26"/>
    <d v="2025-01-02T00:00:00"/>
    <d v="2025-01-09T00:00:00"/>
    <x v="24"/>
    <x v="2"/>
    <x v="1"/>
    <n v="7"/>
  </r>
  <r>
    <x v="29"/>
    <n v="61"/>
    <s v="M"/>
    <x v="9"/>
    <d v="2025-01-09T00:00:00"/>
    <d v="2025-01-12T00:00:00"/>
    <x v="9"/>
    <x v="1"/>
    <x v="2"/>
    <n v="3"/>
  </r>
  <r>
    <x v="30"/>
    <n v="28"/>
    <s v="F"/>
    <x v="10"/>
    <d v="2025-01-13T00:00:00"/>
    <d v="2025-01-14T00:00:00"/>
    <x v="10"/>
    <x v="0"/>
    <x v="3"/>
    <n v="1"/>
  </r>
  <r>
    <x v="31"/>
    <n v="56"/>
    <s v="M"/>
    <x v="0"/>
    <d v="2025-01-12T00:00:00"/>
    <d v="2025-01-15T00:00:00"/>
    <x v="0"/>
    <x v="0"/>
    <x v="0"/>
    <n v="3"/>
  </r>
  <r>
    <x v="32"/>
    <m/>
    <s v="F"/>
    <x v="1"/>
    <d v="2025-01-08T00:00:00"/>
    <d v="2025-01-12T00:00:00"/>
    <x v="1"/>
    <x v="1"/>
    <x v="1"/>
    <n v="4"/>
  </r>
  <r>
    <x v="33"/>
    <n v="67"/>
    <s v="M"/>
    <x v="2"/>
    <d v="2025-01-05T00:00:00"/>
    <d v="2025-01-10T00:00:00"/>
    <x v="2"/>
    <x v="0"/>
    <x v="2"/>
    <n v="5"/>
  </r>
  <r>
    <x v="34"/>
    <n v="34"/>
    <s v="M"/>
    <x v="3"/>
    <d v="2025-01-08T00:00:00"/>
    <d v="2025-01-09T00:00:00"/>
    <x v="25"/>
    <x v="1"/>
    <x v="3"/>
    <n v="1"/>
  </r>
  <r>
    <x v="35"/>
    <n v="73"/>
    <s v="M"/>
    <x v="7"/>
    <d v="2025-01-10T00:00:00"/>
    <s v="20/01/2025"/>
    <x v="7"/>
    <x v="2"/>
    <x v="0"/>
    <n v="10"/>
  </r>
  <r>
    <x v="36"/>
    <n v="39"/>
    <s v="F"/>
    <x v="8"/>
    <d v="2025-01-15T00:00:00"/>
    <d v="2025-01-22T00:00:00"/>
    <x v="8"/>
    <x v="1"/>
    <x v="1"/>
    <n v="7"/>
  </r>
  <r>
    <x v="37"/>
    <n v="61"/>
    <s v="M"/>
    <x v="9"/>
    <d v="2025-01-09T00:00:00"/>
    <d v="2025-01-12T00:00:00"/>
    <x v="9"/>
    <x v="1"/>
    <x v="2"/>
    <n v="3"/>
  </r>
  <r>
    <x v="38"/>
    <n v="28"/>
    <s v="F"/>
    <x v="10"/>
    <d v="2025-01-13T00:00:00"/>
    <d v="2025-01-14T00:00:00"/>
    <x v="10"/>
    <x v="0"/>
    <x v="3"/>
    <n v="1"/>
  </r>
  <r>
    <x v="39"/>
    <n v="56"/>
    <s v="M"/>
    <x v="0"/>
    <d v="2025-01-12T00:00:00"/>
    <d v="2025-01-15T00:00:00"/>
    <x v="0"/>
    <x v="0"/>
    <x v="0"/>
    <n v="3"/>
  </r>
  <r>
    <x v="40"/>
    <n v="45"/>
    <s v="F"/>
    <x v="1"/>
    <d v="2025-01-12T00:00:00"/>
    <d v="2025-01-13T00:00:00"/>
    <x v="1"/>
    <x v="1"/>
    <x v="1"/>
    <n v="1"/>
  </r>
  <r>
    <x v="41"/>
    <n v="67"/>
    <s v="M"/>
    <x v="2"/>
    <d v="2025-01-05T00:00:00"/>
    <d v="2025-01-10T00:00:00"/>
    <x v="2"/>
    <x v="0"/>
    <x v="2"/>
    <n v="5"/>
  </r>
  <r>
    <x v="42"/>
    <n v="34"/>
    <s v="M"/>
    <x v="3"/>
    <d v="2025-01-08T00:00:00"/>
    <d v="2025-01-09T00:00:00"/>
    <x v="3"/>
    <x v="1"/>
    <x v="3"/>
    <n v="1"/>
  </r>
  <r>
    <x v="43"/>
    <n v="66"/>
    <s v="M"/>
    <x v="0"/>
    <d v="2025-01-04T00:00:00"/>
    <d v="2025-01-08T00:00:00"/>
    <x v="0"/>
    <x v="0"/>
    <x v="0"/>
    <n v="4"/>
  </r>
  <r>
    <x v="44"/>
    <n v="44"/>
    <s v="F"/>
    <x v="11"/>
    <d v="2025-01-07T00:00:00"/>
    <d v="2025-01-10T00:00:00"/>
    <x v="11"/>
    <x v="0"/>
    <x v="1"/>
    <n v="3"/>
  </r>
  <r>
    <x v="45"/>
    <n v="50"/>
    <s v="M"/>
    <x v="12"/>
    <d v="2025-01-21T00:00:00"/>
    <d v="2025-01-25T00:00:00"/>
    <x v="12"/>
    <x v="1"/>
    <x v="2"/>
    <n v="4"/>
  </r>
  <r>
    <x v="46"/>
    <n v="37"/>
    <s v="F"/>
    <x v="13"/>
    <d v="2025-01-16T00:00:00"/>
    <d v="2025-01-17T00:00:00"/>
    <x v="13"/>
    <x v="0"/>
    <x v="3"/>
    <n v="1"/>
  </r>
  <r>
    <x v="47"/>
    <n v="59"/>
    <s v="M"/>
    <x v="18"/>
    <d v="2025-01-02T00:00:00"/>
    <d v="2025-01-03T00:00:00"/>
    <x v="17"/>
    <x v="0"/>
    <x v="0"/>
    <n v="1"/>
  </r>
  <r>
    <x v="48"/>
    <n v="47"/>
    <s v="F"/>
    <x v="19"/>
    <d v="2025-01-09T00:00:00"/>
    <d v="2025-01-10T00:00:00"/>
    <x v="18"/>
    <x v="1"/>
    <x v="1"/>
    <n v="1"/>
  </r>
  <r>
    <x v="49"/>
    <n v="53"/>
    <s v="M"/>
    <x v="20"/>
    <d v="2025-01-10T00:00:00"/>
    <d v="2025-01-13T00:00:00"/>
    <x v="19"/>
    <x v="0"/>
    <x v="2"/>
    <n v="3"/>
  </r>
  <r>
    <x v="50"/>
    <n v="30"/>
    <s v="F"/>
    <x v="21"/>
    <d v="2025-01-11T00:00:00"/>
    <d v="2025-01-11T00:00:00"/>
    <x v="20"/>
    <x v="0"/>
    <x v="3"/>
    <n v="0"/>
  </r>
  <r>
    <x v="51"/>
    <n v="68"/>
    <s v="M"/>
    <x v="22"/>
    <d v="2025-01-17T00:00:00"/>
    <d v="2025-01-27T00:00:00"/>
    <x v="21"/>
    <x v="2"/>
    <x v="0"/>
    <n v="10"/>
  </r>
  <r>
    <x v="52"/>
    <n v="34"/>
    <s v="F"/>
    <x v="11"/>
    <d v="2025-01-16T00:00:00"/>
    <d v="2025-01-19T00:00:00"/>
    <x v="4"/>
    <x v="1"/>
    <x v="1"/>
    <n v="3"/>
  </r>
  <r>
    <x v="53"/>
    <n v="49"/>
    <s v="M"/>
    <x v="23"/>
    <d v="2025-01-03T00:00:00"/>
    <d v="2025-01-07T00:00:00"/>
    <x v="22"/>
    <x v="0"/>
    <x v="2"/>
    <n v="4"/>
  </r>
  <r>
    <x v="54"/>
    <n v="22"/>
    <s v="F"/>
    <x v="24"/>
    <d v="2025-01-05T00:00:00"/>
    <d v="2025-01-05T00:00:00"/>
    <x v="23"/>
    <x v="0"/>
    <x v="3"/>
    <n v="0"/>
  </r>
  <r>
    <x v="55"/>
    <n v="75"/>
    <s v="M"/>
    <x v="25"/>
    <d v="2025-01-13T00:00:00"/>
    <d v="2025-01-18T00:00:00"/>
    <x v="8"/>
    <x v="1"/>
    <x v="0"/>
    <n v="5"/>
  </r>
  <r>
    <x v="56"/>
    <n v="57"/>
    <s v="F"/>
    <x v="26"/>
    <d v="2025-01-02T00:00:00"/>
    <d v="2025-01-09T00:00:00"/>
    <x v="24"/>
    <x v="2"/>
    <x v="1"/>
    <n v="7"/>
  </r>
  <r>
    <x v="57"/>
    <n v="61"/>
    <s v="M"/>
    <x v="9"/>
    <d v="2025-01-09T00:00:00"/>
    <d v="2025-01-12T00:00:00"/>
    <x v="9"/>
    <x v="1"/>
    <x v="2"/>
    <n v="3"/>
  </r>
  <r>
    <x v="58"/>
    <n v="28"/>
    <s v="F"/>
    <x v="10"/>
    <d v="2025-01-13T00:00:00"/>
    <d v="2025-01-14T00:00:00"/>
    <x v="10"/>
    <x v="0"/>
    <x v="3"/>
    <n v="1"/>
  </r>
  <r>
    <x v="59"/>
    <n v="66"/>
    <s v="M"/>
    <x v="0"/>
    <d v="2025-01-04T00:00:00"/>
    <d v="2025-01-08T00:00:00"/>
    <x v="0"/>
    <x v="0"/>
    <x v="0"/>
    <n v="4"/>
  </r>
  <r>
    <x v="60"/>
    <n v="44"/>
    <s v="F"/>
    <x v="11"/>
    <d v="2025-01-07T00:00:00"/>
    <d v="2025-01-10T00:00:00"/>
    <x v="11"/>
    <x v="0"/>
    <x v="1"/>
    <n v="3"/>
  </r>
  <r>
    <x v="61"/>
    <n v="50"/>
    <s v="M"/>
    <x v="12"/>
    <d v="2025-01-21T00:00:00"/>
    <d v="2025-01-25T00:00:00"/>
    <x v="12"/>
    <x v="1"/>
    <x v="2"/>
    <n v="4"/>
  </r>
  <r>
    <x v="62"/>
    <n v="37"/>
    <s v="F"/>
    <x v="13"/>
    <d v="2025-01-16T00:00:00"/>
    <d v="2025-01-17T00:00:00"/>
    <x v="13"/>
    <x v="0"/>
    <x v="3"/>
    <n v="1"/>
  </r>
  <r>
    <x v="63"/>
    <n v="59"/>
    <s v="M"/>
    <x v="18"/>
    <d v="2025-01-02T00:00:00"/>
    <d v="2025-01-03T00:00:00"/>
    <x v="17"/>
    <x v="0"/>
    <x v="0"/>
    <n v="1"/>
  </r>
  <r>
    <x v="64"/>
    <n v="47"/>
    <s v="F"/>
    <x v="19"/>
    <d v="2025-01-09T00:00:00"/>
    <d v="2025-01-10T00:00:00"/>
    <x v="18"/>
    <x v="1"/>
    <x v="1"/>
    <n v="1"/>
  </r>
  <r>
    <x v="65"/>
    <n v="53"/>
    <s v="M"/>
    <x v="20"/>
    <d v="2025-01-10T00:00:00"/>
    <d v="2025-01-13T00:00:00"/>
    <x v="19"/>
    <x v="0"/>
    <x v="2"/>
    <n v="3"/>
  </r>
  <r>
    <x v="66"/>
    <n v="30"/>
    <s v="F"/>
    <x v="21"/>
    <d v="2025-01-11T00:00:00"/>
    <d v="2025-01-11T00:00:00"/>
    <x v="20"/>
    <x v="0"/>
    <x v="3"/>
    <n v="0"/>
  </r>
  <r>
    <x v="67"/>
    <n v="68"/>
    <s v="M"/>
    <x v="22"/>
    <d v="2025-01-17T00:00:00"/>
    <d v="2025-01-27T00:00:00"/>
    <x v="21"/>
    <x v="2"/>
    <x v="0"/>
    <n v="10"/>
  </r>
  <r>
    <x v="68"/>
    <n v="34"/>
    <s v="F"/>
    <x v="11"/>
    <d v="2025-01-16T00:00:00"/>
    <d v="2025-01-19T00:00:00"/>
    <x v="4"/>
    <x v="1"/>
    <x v="1"/>
    <n v="3"/>
  </r>
  <r>
    <x v="69"/>
    <n v="49"/>
    <s v="M"/>
    <x v="23"/>
    <d v="2025-01-03T00:00:00"/>
    <d v="2025-01-07T00:00:00"/>
    <x v="22"/>
    <x v="0"/>
    <x v="2"/>
    <n v="4"/>
  </r>
  <r>
    <x v="70"/>
    <n v="22"/>
    <s v="F"/>
    <x v="24"/>
    <d v="2025-01-05T00:00:00"/>
    <d v="2025-01-05T00:00:00"/>
    <x v="23"/>
    <x v="0"/>
    <x v="3"/>
    <n v="0"/>
  </r>
  <r>
    <x v="71"/>
    <n v="75"/>
    <s v="M"/>
    <x v="25"/>
    <d v="2025-01-13T00:00:00"/>
    <d v="2025-01-18T00:00:00"/>
    <x v="8"/>
    <x v="1"/>
    <x v="0"/>
    <n v="5"/>
  </r>
  <r>
    <x v="72"/>
    <n v="57"/>
    <s v="F"/>
    <x v="26"/>
    <d v="2025-01-02T00:00:00"/>
    <d v="2025-01-09T00:00:00"/>
    <x v="24"/>
    <x v="2"/>
    <x v="1"/>
    <n v="7"/>
  </r>
  <r>
    <x v="73"/>
    <n v="61"/>
    <s v="M"/>
    <x v="9"/>
    <d v="2025-01-09T00:00:00"/>
    <d v="2025-01-12T00:00:00"/>
    <x v="9"/>
    <x v="1"/>
    <x v="2"/>
    <n v="3"/>
  </r>
  <r>
    <x v="74"/>
    <n v="28"/>
    <s v="F"/>
    <x v="10"/>
    <d v="2025-01-13T00:00:00"/>
    <d v="2025-01-14T00:00:00"/>
    <x v="10"/>
    <x v="0"/>
    <x v="3"/>
    <n v="1"/>
  </r>
  <r>
    <x v="75"/>
    <n v="66"/>
    <s v="M"/>
    <x v="0"/>
    <d v="2025-01-04T00:00:00"/>
    <d v="2025-01-08T00:00:00"/>
    <x v="0"/>
    <x v="0"/>
    <x v="0"/>
    <n v="4"/>
  </r>
  <r>
    <x v="76"/>
    <n v="44"/>
    <s v="F"/>
    <x v="11"/>
    <d v="2025-01-07T00:00:00"/>
    <d v="2025-01-10T00:00:00"/>
    <x v="11"/>
    <x v="0"/>
    <x v="1"/>
    <n v="3"/>
  </r>
  <r>
    <x v="77"/>
    <n v="50"/>
    <s v="M"/>
    <x v="12"/>
    <d v="2025-01-21T00:00:00"/>
    <d v="2025-01-25T00:00:00"/>
    <x v="12"/>
    <x v="1"/>
    <x v="2"/>
    <n v="4"/>
  </r>
  <r>
    <x v="78"/>
    <n v="37"/>
    <s v="F"/>
    <x v="13"/>
    <d v="2025-01-16T00:00:00"/>
    <d v="2025-01-17T00:00:00"/>
    <x v="13"/>
    <x v="0"/>
    <x v="3"/>
    <n v="1"/>
  </r>
  <r>
    <x v="79"/>
    <n v="59"/>
    <s v="M"/>
    <x v="18"/>
    <d v="2025-01-02T00:00:00"/>
    <d v="2025-01-03T00:00:00"/>
    <x v="17"/>
    <x v="0"/>
    <x v="0"/>
    <n v="1"/>
  </r>
  <r>
    <x v="80"/>
    <n v="47"/>
    <s v="F"/>
    <x v="19"/>
    <d v="2025-01-09T00:00:00"/>
    <d v="2025-01-10T00:00:00"/>
    <x v="18"/>
    <x v="1"/>
    <x v="1"/>
    <n v="1"/>
  </r>
  <r>
    <x v="81"/>
    <n v="53"/>
    <s v="M"/>
    <x v="20"/>
    <d v="2025-01-10T00:00:00"/>
    <d v="2025-01-13T00:00:00"/>
    <x v="19"/>
    <x v="0"/>
    <x v="2"/>
    <n v="3"/>
  </r>
  <r>
    <x v="82"/>
    <n v="30"/>
    <s v="F"/>
    <x v="21"/>
    <d v="2025-01-11T00:00:00"/>
    <d v="2025-01-11T00:00:00"/>
    <x v="20"/>
    <x v="0"/>
    <x v="3"/>
    <n v="0"/>
  </r>
  <r>
    <x v="83"/>
    <n v="68"/>
    <s v="M"/>
    <x v="22"/>
    <d v="2025-01-17T00:00:00"/>
    <d v="2025-01-27T00:00:00"/>
    <x v="21"/>
    <x v="2"/>
    <x v="0"/>
    <n v="10"/>
  </r>
  <r>
    <x v="84"/>
    <n v="34"/>
    <s v="F"/>
    <x v="11"/>
    <d v="2025-01-16T00:00:00"/>
    <d v="2025-01-19T00:00:00"/>
    <x v="4"/>
    <x v="1"/>
    <x v="1"/>
    <n v="3"/>
  </r>
  <r>
    <x v="85"/>
    <n v="49"/>
    <s v="M"/>
    <x v="23"/>
    <d v="2025-01-03T00:00:00"/>
    <d v="2025-01-07T00:00:00"/>
    <x v="22"/>
    <x v="0"/>
    <x v="2"/>
    <n v="4"/>
  </r>
  <r>
    <x v="86"/>
    <n v="22"/>
    <s v="F"/>
    <x v="24"/>
    <d v="2025-01-05T00:00:00"/>
    <d v="2025-01-05T00:00:00"/>
    <x v="23"/>
    <x v="0"/>
    <x v="3"/>
    <n v="0"/>
  </r>
  <r>
    <x v="87"/>
    <n v="75"/>
    <s v="M"/>
    <x v="25"/>
    <d v="2025-01-13T00:00:00"/>
    <d v="2025-01-18T00:00:00"/>
    <x v="8"/>
    <x v="1"/>
    <x v="0"/>
    <n v="5"/>
  </r>
  <r>
    <x v="88"/>
    <n v="57"/>
    <s v="F"/>
    <x v="26"/>
    <d v="2025-01-02T00:00:00"/>
    <d v="2025-01-09T00:00:00"/>
    <x v="24"/>
    <x v="2"/>
    <x v="1"/>
    <n v="7"/>
  </r>
  <r>
    <x v="89"/>
    <n v="61"/>
    <s v="M"/>
    <x v="9"/>
    <d v="2025-01-09T00:00:00"/>
    <d v="2025-01-12T00:00:00"/>
    <x v="9"/>
    <x v="1"/>
    <x v="2"/>
    <n v="3"/>
  </r>
  <r>
    <x v="90"/>
    <n v="28"/>
    <s v="F"/>
    <x v="10"/>
    <d v="2025-01-13T00:00:00"/>
    <d v="2025-01-14T00:00:00"/>
    <x v="10"/>
    <x v="0"/>
    <x v="3"/>
    <n v="1"/>
  </r>
  <r>
    <x v="91"/>
    <n v="66"/>
    <s v="M"/>
    <x v="0"/>
    <d v="2025-01-04T00:00:00"/>
    <d v="2025-01-08T00:00:00"/>
    <x v="0"/>
    <x v="0"/>
    <x v="0"/>
    <n v="4"/>
  </r>
  <r>
    <x v="92"/>
    <n v="44"/>
    <s v="F"/>
    <x v="11"/>
    <d v="2025-01-07T00:00:00"/>
    <d v="2025-01-10T00:00:00"/>
    <x v="11"/>
    <x v="0"/>
    <x v="1"/>
    <n v="3"/>
  </r>
  <r>
    <x v="93"/>
    <n v="50"/>
    <s v="M"/>
    <x v="12"/>
    <d v="2025-01-21T00:00:00"/>
    <d v="2025-01-25T00:00:00"/>
    <x v="12"/>
    <x v="1"/>
    <x v="2"/>
    <n v="4"/>
  </r>
  <r>
    <x v="94"/>
    <n v="37"/>
    <s v="F"/>
    <x v="13"/>
    <d v="2025-01-16T00:00:00"/>
    <d v="2025-01-17T00:00:00"/>
    <x v="13"/>
    <x v="0"/>
    <x v="3"/>
    <n v="1"/>
  </r>
  <r>
    <x v="95"/>
    <n v="59"/>
    <s v="M"/>
    <x v="18"/>
    <d v="2025-01-02T00:00:00"/>
    <d v="2025-01-03T00:00:00"/>
    <x v="17"/>
    <x v="0"/>
    <x v="0"/>
    <n v="1"/>
  </r>
  <r>
    <x v="96"/>
    <n v="47"/>
    <s v="F"/>
    <x v="19"/>
    <d v="2025-01-09T00:00:00"/>
    <d v="2025-01-10T00:00:00"/>
    <x v="18"/>
    <x v="1"/>
    <x v="1"/>
    <n v="1"/>
  </r>
  <r>
    <x v="97"/>
    <n v="53"/>
    <s v="M"/>
    <x v="20"/>
    <d v="2025-01-10T00:00:00"/>
    <d v="2025-01-13T00:00:00"/>
    <x v="19"/>
    <x v="0"/>
    <x v="2"/>
    <n v="3"/>
  </r>
  <r>
    <x v="98"/>
    <n v="30"/>
    <s v="F"/>
    <x v="21"/>
    <d v="2025-01-11T00:00:00"/>
    <d v="2025-01-11T00:00:00"/>
    <x v="20"/>
    <x v="0"/>
    <x v="3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AB4278-9221-49C7-A129-92E8F88FBE74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 rowHeaderCaption="Status">
  <location ref="K5:L9" firstHeaderRow="1" firstDataRow="1" firstDataCol="1"/>
  <pivotFields count="10">
    <pivotField showAll="0"/>
    <pivotField showAll="0"/>
    <pivotField showAll="0"/>
    <pivotField showAll="0"/>
    <pivotField numFmtId="164" showAll="0"/>
    <pivotField showAll="0"/>
    <pivotField dataField="1" showAll="0">
      <items count="27">
        <item x="23"/>
        <item x="14"/>
        <item x="20"/>
        <item x="10"/>
        <item x="13"/>
        <item x="6"/>
        <item x="3"/>
        <item x="18"/>
        <item x="1"/>
        <item x="17"/>
        <item x="11"/>
        <item x="4"/>
        <item x="12"/>
        <item x="9"/>
        <item x="0"/>
        <item x="5"/>
        <item x="19"/>
        <item x="22"/>
        <item x="2"/>
        <item x="16"/>
        <item x="8"/>
        <item x="24"/>
        <item x="15"/>
        <item x="7"/>
        <item x="21"/>
        <item x="25"/>
        <item t="default"/>
      </items>
    </pivotField>
    <pivotField axis="axisRow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reatment Cost" fld="6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D41EAA-8752-4AFD-A156-CB0D7093A8B7}" name="PivotTable1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Diagnosis with result">
  <location ref="F5:G33" firstHeaderRow="1" firstDataRow="1" firstDataCol="1"/>
  <pivotFields count="10">
    <pivotField showAll="0"/>
    <pivotField showAll="0"/>
    <pivotField showAll="0"/>
    <pivotField axis="axisRow" dataField="1" showAll="0">
      <items count="28">
        <item x="10"/>
        <item x="18"/>
        <item x="5"/>
        <item x="12"/>
        <item x="14"/>
        <item x="24"/>
        <item x="20"/>
        <item x="4"/>
        <item x="2"/>
        <item x="16"/>
        <item x="19"/>
        <item x="22"/>
        <item x="7"/>
        <item x="0"/>
        <item x="13"/>
        <item x="9"/>
        <item x="23"/>
        <item x="1"/>
        <item x="17"/>
        <item x="15"/>
        <item x="11"/>
        <item x="3"/>
        <item x="8"/>
        <item x="26"/>
        <item x="21"/>
        <item x="6"/>
        <item x="25"/>
        <item t="default"/>
      </items>
    </pivotField>
    <pivotField numFmtId="164" showAll="0"/>
    <pivotField showAll="0"/>
    <pivotField showAll="0"/>
    <pivotField showAll="0"/>
    <pivotField showAll="0"/>
    <pivotField showAll="0"/>
  </pivotFields>
  <rowFields count="1">
    <field x="3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Items count="1">
    <i/>
  </colItems>
  <dataFields count="1">
    <dataField name="Count of Diagnosis with result" fld="3" subtotal="count" baseField="3" baseItem="0">
      <extLst>
        <ext xmlns:x14="http://schemas.microsoft.com/office/spreadsheetml/2009/9/main" uri="{E15A36E0-9728-4e99-A89B-3F7291B0FE68}">
          <x14:dataField pivotShowAs="rankDescending"/>
        </ext>
      </extLst>
    </dataField>
  </dataFields>
  <chartFormats count="2"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B02529-B591-4E9D-9378-BF10BECDA4DB}" name="PivotTable1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1" rowHeaderCaption="Department">
  <location ref="A5:B10" firstHeaderRow="1" firstDataRow="1" firstDataCol="1"/>
  <pivotFields count="10">
    <pivotField showAll="0"/>
    <pivotField showAll="0"/>
    <pivotField showAll="0"/>
    <pivotField showAll="0">
      <items count="28">
        <item x="10"/>
        <item x="18"/>
        <item x="5"/>
        <item x="12"/>
        <item x="14"/>
        <item x="24"/>
        <item x="20"/>
        <item x="4"/>
        <item x="2"/>
        <item x="16"/>
        <item x="19"/>
        <item x="22"/>
        <item x="7"/>
        <item x="0"/>
        <item x="13"/>
        <item x="9"/>
        <item x="23"/>
        <item x="1"/>
        <item x="17"/>
        <item x="15"/>
        <item x="11"/>
        <item x="3"/>
        <item x="8"/>
        <item x="26"/>
        <item x="21"/>
        <item x="6"/>
        <item x="25"/>
        <item t="default"/>
      </items>
    </pivotField>
    <pivotField numFmtId="164" showAll="0"/>
    <pivotField showAll="0"/>
    <pivotField dataField="1" showAll="0"/>
    <pivotField showAll="0"/>
    <pivotField axis="axisRow" showAll="0">
      <items count="5">
        <item x="0"/>
        <item x="3"/>
        <item x="1"/>
        <item x="2"/>
        <item t="default"/>
      </items>
    </pivotField>
    <pivotField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reatment Cost" fld="6" baseField="0" baseItem="0"/>
  </dataFields>
  <chartFormats count="1">
    <chartFormat chart="4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D6F3FA5-BEF2-422D-88FF-F194D92964DC}" name="Table2" displayName="Table2" ref="A1:J100" totalsRowShown="0">
  <autoFilter ref="A1:J100" xr:uid="{1D6F3FA5-BEF2-422D-88FF-F194D92964DC}">
    <filterColumn colId="2">
      <filters>
        <filter val="F"/>
      </filters>
    </filterColumn>
  </autoFilter>
  <tableColumns count="10">
    <tableColumn id="1" xr3:uid="{43999EEE-57B3-4513-BCF1-C89B336AA60F}" name="Patient ID" dataDxfId="10"/>
    <tableColumn id="3" xr3:uid="{1E6D46AC-06E1-4227-89FE-0A13F6394F50}" name="Age" dataDxfId="9"/>
    <tableColumn id="4" xr3:uid="{B26A3DE8-D1D9-4995-958A-6F0FC39222A1}" name="Gender" dataDxfId="8"/>
    <tableColumn id="5" xr3:uid="{DE013240-48E0-4FE8-BD73-C593A7277FD4}" name="Diagnosis with result" dataDxfId="7"/>
    <tableColumn id="6" xr3:uid="{3E96552E-D931-4220-8175-807A1666BA10}" name="Admission Date" dataDxfId="6"/>
    <tableColumn id="7" xr3:uid="{86C8A6EE-A531-4532-944E-905527A7F4FB}" name="Discharge Date" dataDxfId="5"/>
    <tableColumn id="8" xr3:uid="{26B37FE2-5AA9-44A2-93AD-3E9D8C21D2C3}" name="Treatment Cost" dataDxfId="4"/>
    <tableColumn id="9" xr3:uid="{ED8ADD06-6EC7-4EBC-875D-D18A287DFD90}" name="Outcome" dataDxfId="3"/>
    <tableColumn id="11" xr3:uid="{42BCA041-CA24-4F13-9A57-8CA79EF761D3}" name="Department" dataDxfId="2"/>
    <tableColumn id="13" xr3:uid="{E70F49F8-29DE-4EC1-871E-15432ABD43DD}" name="Length Of Stay" dataDxfId="1">
      <calculatedColumnFormula>Table2[[#This Row],[Discharge Date]] - Table2[[#This Row],[Admission Date]]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BBA35A-3F43-4BF6-95F4-0F3813BB5B8A}" name="Table1" displayName="Table1" ref="A1:D11" totalsRowShown="0">
  <autoFilter ref="A1:D11" xr:uid="{A7BBA35A-3F43-4BF6-95F4-0F3813BB5B8A}"/>
  <tableColumns count="4">
    <tableColumn id="1" xr3:uid="{A2CD775F-9D1E-4179-8849-A65E87FFF296}" name="Task"/>
    <tableColumn id="2" xr3:uid="{1BCCA404-9ABE-482B-9A59-B9DEE256D915}" name="Formula / Tool Used" dataDxfId="0"/>
    <tableColumn id="3" xr3:uid="{FF41EA06-9C44-42A4-AB37-F0D1C84681F8}" name="Purpose"/>
    <tableColumn id="4" xr3:uid="{05096825-1614-46E1-8FC1-302AC7952C92}" name="Example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91AA6-5678-4464-B6BE-AD0105A9D766}">
  <dimension ref="A1:I100"/>
  <sheetViews>
    <sheetView zoomScale="180" workbookViewId="0">
      <selection activeCell="D1" sqref="D1:D1048576"/>
    </sheetView>
  </sheetViews>
  <sheetFormatPr defaultRowHeight="15" x14ac:dyDescent="0.25"/>
  <cols>
    <col min="6" max="6" width="12.85546875" customWidth="1"/>
    <col min="7" max="7" width="14.28515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>
        <v>56</v>
      </c>
      <c r="D2" t="s">
        <v>11</v>
      </c>
      <c r="E2" t="s">
        <v>12</v>
      </c>
      <c r="F2" s="1">
        <v>45669</v>
      </c>
      <c r="G2" s="1">
        <v>45672</v>
      </c>
      <c r="H2">
        <v>15000</v>
      </c>
      <c r="I2" t="s">
        <v>13</v>
      </c>
    </row>
    <row r="3" spans="1:9" x14ac:dyDescent="0.25">
      <c r="A3" t="s">
        <v>14</v>
      </c>
      <c r="B3" t="s">
        <v>15</v>
      </c>
      <c r="C3">
        <v>45</v>
      </c>
      <c r="D3" t="s">
        <v>16</v>
      </c>
      <c r="E3" t="s">
        <v>17</v>
      </c>
      <c r="F3" s="1">
        <v>45992</v>
      </c>
      <c r="G3" t="s">
        <v>18</v>
      </c>
      <c r="H3">
        <v>8000</v>
      </c>
      <c r="I3" t="s">
        <v>19</v>
      </c>
    </row>
    <row r="4" spans="1:9" x14ac:dyDescent="0.25">
      <c r="A4" t="s">
        <v>20</v>
      </c>
      <c r="B4" t="s">
        <v>21</v>
      </c>
      <c r="C4">
        <v>67</v>
      </c>
      <c r="D4" t="s">
        <v>11</v>
      </c>
      <c r="E4" t="s">
        <v>22</v>
      </c>
      <c r="F4" s="1">
        <v>45662</v>
      </c>
      <c r="G4" s="1">
        <v>45667</v>
      </c>
      <c r="H4">
        <v>20000</v>
      </c>
      <c r="I4" t="s">
        <v>13</v>
      </c>
    </row>
    <row r="5" spans="1:9" x14ac:dyDescent="0.25">
      <c r="A5" t="s">
        <v>24</v>
      </c>
      <c r="B5" t="s">
        <v>25</v>
      </c>
      <c r="C5">
        <v>34</v>
      </c>
      <c r="D5" t="s">
        <v>11</v>
      </c>
      <c r="E5" t="s">
        <v>26</v>
      </c>
      <c r="F5" s="1">
        <v>45665</v>
      </c>
      <c r="G5" s="1">
        <v>45666</v>
      </c>
      <c r="H5">
        <v>5000</v>
      </c>
      <c r="I5" t="s">
        <v>19</v>
      </c>
    </row>
    <row r="6" spans="1:9" x14ac:dyDescent="0.25">
      <c r="A6" t="s">
        <v>27</v>
      </c>
      <c r="B6" t="s">
        <v>15</v>
      </c>
      <c r="C6">
        <v>29</v>
      </c>
      <c r="D6" t="s">
        <v>16</v>
      </c>
      <c r="E6" t="s">
        <v>28</v>
      </c>
      <c r="F6" s="1">
        <v>45668</v>
      </c>
      <c r="G6" s="1">
        <v>45671</v>
      </c>
      <c r="H6">
        <v>12000</v>
      </c>
      <c r="I6" t="s">
        <v>13</v>
      </c>
    </row>
    <row r="7" spans="1:9" x14ac:dyDescent="0.25">
      <c r="A7" t="s">
        <v>29</v>
      </c>
      <c r="B7" t="s">
        <v>21</v>
      </c>
      <c r="C7">
        <v>52</v>
      </c>
      <c r="D7" t="s">
        <v>11</v>
      </c>
      <c r="E7" t="s">
        <v>30</v>
      </c>
      <c r="F7" s="1">
        <v>45659</v>
      </c>
      <c r="G7" s="1">
        <v>45662</v>
      </c>
      <c r="H7">
        <v>16000</v>
      </c>
      <c r="I7" t="s">
        <v>31</v>
      </c>
    </row>
    <row r="8" spans="1:9" x14ac:dyDescent="0.25">
      <c r="A8" t="s">
        <v>32</v>
      </c>
      <c r="B8" t="s">
        <v>25</v>
      </c>
      <c r="C8">
        <v>41</v>
      </c>
      <c r="D8" t="s">
        <v>16</v>
      </c>
      <c r="E8" t="s">
        <v>33</v>
      </c>
      <c r="F8" s="1">
        <v>45675</v>
      </c>
      <c r="G8" s="1">
        <v>45676</v>
      </c>
      <c r="H8">
        <v>4500</v>
      </c>
      <c r="I8" t="s">
        <v>13</v>
      </c>
    </row>
    <row r="9" spans="1:9" x14ac:dyDescent="0.25">
      <c r="A9" t="s">
        <v>34</v>
      </c>
      <c r="B9" t="s">
        <v>10</v>
      </c>
      <c r="C9">
        <v>73</v>
      </c>
      <c r="D9" t="s">
        <v>11</v>
      </c>
      <c r="E9" t="s">
        <v>35</v>
      </c>
      <c r="F9" s="1">
        <v>45667</v>
      </c>
      <c r="G9" s="1">
        <v>45677</v>
      </c>
      <c r="H9">
        <v>40000</v>
      </c>
      <c r="I9" t="s">
        <v>31</v>
      </c>
    </row>
    <row r="10" spans="1:9" x14ac:dyDescent="0.25">
      <c r="A10" t="s">
        <v>36</v>
      </c>
      <c r="B10" t="s">
        <v>15</v>
      </c>
      <c r="C10">
        <v>39</v>
      </c>
      <c r="D10" t="s">
        <v>16</v>
      </c>
      <c r="E10" t="s">
        <v>37</v>
      </c>
      <c r="F10" s="1">
        <v>45672</v>
      </c>
      <c r="G10" s="1">
        <v>45679</v>
      </c>
      <c r="H10">
        <v>25000</v>
      </c>
      <c r="I10" t="s">
        <v>19</v>
      </c>
    </row>
    <row r="11" spans="1:9" x14ac:dyDescent="0.25">
      <c r="A11" t="s">
        <v>38</v>
      </c>
      <c r="B11" t="s">
        <v>21</v>
      </c>
      <c r="C11">
        <v>61</v>
      </c>
      <c r="D11" t="s">
        <v>11</v>
      </c>
      <c r="E11" t="s">
        <v>39</v>
      </c>
      <c r="F11" s="1">
        <v>45666</v>
      </c>
      <c r="G11" s="1">
        <v>45669</v>
      </c>
      <c r="H11">
        <v>14000</v>
      </c>
      <c r="I11" t="s">
        <v>19</v>
      </c>
    </row>
    <row r="12" spans="1:9" x14ac:dyDescent="0.25">
      <c r="A12" t="s">
        <v>40</v>
      </c>
      <c r="B12" t="s">
        <v>25</v>
      </c>
      <c r="C12">
        <v>28</v>
      </c>
      <c r="D12" t="s">
        <v>16</v>
      </c>
      <c r="E12" t="s">
        <v>41</v>
      </c>
      <c r="F12" s="1">
        <v>45670</v>
      </c>
      <c r="G12" s="1">
        <v>45671</v>
      </c>
      <c r="H12">
        <v>3000</v>
      </c>
      <c r="I12" t="s">
        <v>13</v>
      </c>
    </row>
    <row r="13" spans="1:9" x14ac:dyDescent="0.25">
      <c r="A13" t="s">
        <v>42</v>
      </c>
      <c r="B13" t="s">
        <v>10</v>
      </c>
      <c r="C13">
        <v>66</v>
      </c>
      <c r="D13" t="s">
        <v>11</v>
      </c>
      <c r="E13" t="s">
        <v>12</v>
      </c>
      <c r="F13" s="1">
        <v>45661</v>
      </c>
      <c r="G13" s="1">
        <v>45665</v>
      </c>
      <c r="H13">
        <v>15000</v>
      </c>
      <c r="I13" t="s">
        <v>13</v>
      </c>
    </row>
    <row r="14" spans="1:9" x14ac:dyDescent="0.25">
      <c r="A14" t="s">
        <v>43</v>
      </c>
      <c r="B14" t="s">
        <v>44</v>
      </c>
      <c r="C14">
        <v>44</v>
      </c>
      <c r="D14" t="s">
        <v>16</v>
      </c>
      <c r="E14" t="s">
        <v>45</v>
      </c>
      <c r="F14" s="1">
        <v>45664</v>
      </c>
      <c r="G14" s="1">
        <v>45667</v>
      </c>
      <c r="H14">
        <v>11000</v>
      </c>
      <c r="I14" t="s">
        <v>13</v>
      </c>
    </row>
    <row r="15" spans="1:9" x14ac:dyDescent="0.25">
      <c r="A15" t="s">
        <v>46</v>
      </c>
      <c r="B15" t="s">
        <v>21</v>
      </c>
      <c r="C15">
        <v>50</v>
      </c>
      <c r="D15" t="s">
        <v>11</v>
      </c>
      <c r="E15" t="s">
        <v>47</v>
      </c>
      <c r="F15" s="1">
        <v>45678</v>
      </c>
      <c r="G15" s="1">
        <v>45682</v>
      </c>
      <c r="H15">
        <v>13000</v>
      </c>
      <c r="I15" t="s">
        <v>19</v>
      </c>
    </row>
    <row r="16" spans="1:9" x14ac:dyDescent="0.25">
      <c r="A16" t="s">
        <v>48</v>
      </c>
      <c r="B16" t="s">
        <v>25</v>
      </c>
      <c r="C16">
        <v>37</v>
      </c>
      <c r="D16" t="s">
        <v>16</v>
      </c>
      <c r="E16" t="s">
        <v>49</v>
      </c>
      <c r="F16" s="1">
        <v>45673</v>
      </c>
      <c r="G16" s="1">
        <v>45674</v>
      </c>
      <c r="H16">
        <v>3500</v>
      </c>
      <c r="I16" t="s">
        <v>13</v>
      </c>
    </row>
    <row r="17" spans="1:9" x14ac:dyDescent="0.25">
      <c r="A17" t="s">
        <v>50</v>
      </c>
      <c r="B17" t="s">
        <v>10</v>
      </c>
      <c r="D17" t="s">
        <v>11</v>
      </c>
      <c r="E17" t="s">
        <v>51</v>
      </c>
      <c r="F17" s="1">
        <v>45675</v>
      </c>
      <c r="G17" s="1">
        <v>45675</v>
      </c>
      <c r="H17">
        <v>2000</v>
      </c>
      <c r="I17" t="s">
        <v>13</v>
      </c>
    </row>
    <row r="18" spans="1:9" x14ac:dyDescent="0.25">
      <c r="A18" t="s">
        <v>52</v>
      </c>
      <c r="B18" t="s">
        <v>15</v>
      </c>
      <c r="C18">
        <v>72</v>
      </c>
      <c r="D18" t="s">
        <v>16</v>
      </c>
      <c r="E18" t="s">
        <v>53</v>
      </c>
      <c r="F18" s="1">
        <v>45669</v>
      </c>
      <c r="G18" s="1">
        <v>45673</v>
      </c>
      <c r="H18">
        <v>30000</v>
      </c>
      <c r="I18" t="s">
        <v>19</v>
      </c>
    </row>
    <row r="19" spans="1:9" x14ac:dyDescent="0.25">
      <c r="A19" t="s">
        <v>54</v>
      </c>
      <c r="B19" t="s">
        <v>21</v>
      </c>
      <c r="C19">
        <v>64</v>
      </c>
      <c r="D19" t="s">
        <v>11</v>
      </c>
      <c r="E19" t="s">
        <v>55</v>
      </c>
      <c r="F19" s="1">
        <v>45663</v>
      </c>
      <c r="G19" s="1">
        <v>45668</v>
      </c>
      <c r="H19">
        <v>21000</v>
      </c>
      <c r="I19" t="s">
        <v>13</v>
      </c>
    </row>
    <row r="20" spans="1:9" x14ac:dyDescent="0.25">
      <c r="A20" t="s">
        <v>56</v>
      </c>
      <c r="B20" t="s">
        <v>25</v>
      </c>
      <c r="C20">
        <v>25</v>
      </c>
      <c r="D20" t="s">
        <v>16</v>
      </c>
      <c r="E20" t="s">
        <v>57</v>
      </c>
      <c r="F20" s="1">
        <v>45671</v>
      </c>
      <c r="G20" s="1">
        <v>45672</v>
      </c>
      <c r="H20">
        <v>4500</v>
      </c>
      <c r="I20" t="s">
        <v>19</v>
      </c>
    </row>
    <row r="21" spans="1:9" x14ac:dyDescent="0.25">
      <c r="A21" t="s">
        <v>58</v>
      </c>
      <c r="B21" t="s">
        <v>10</v>
      </c>
      <c r="C21">
        <v>59</v>
      </c>
      <c r="D21" t="s">
        <v>11</v>
      </c>
      <c r="E21" t="s">
        <v>23</v>
      </c>
      <c r="F21" s="1">
        <v>45659</v>
      </c>
      <c r="G21" s="1">
        <v>45660</v>
      </c>
      <c r="H21">
        <v>9000</v>
      </c>
      <c r="I21" t="s">
        <v>13</v>
      </c>
    </row>
    <row r="22" spans="1:9" x14ac:dyDescent="0.25">
      <c r="A22" t="s">
        <v>59</v>
      </c>
      <c r="B22" t="s">
        <v>15</v>
      </c>
      <c r="C22">
        <v>47</v>
      </c>
      <c r="D22" t="s">
        <v>16</v>
      </c>
      <c r="E22" t="s">
        <v>60</v>
      </c>
      <c r="F22" s="1">
        <v>45666</v>
      </c>
      <c r="G22" s="1">
        <v>45667</v>
      </c>
      <c r="H22">
        <v>6000</v>
      </c>
      <c r="I22" t="s">
        <v>19</v>
      </c>
    </row>
    <row r="23" spans="1:9" x14ac:dyDescent="0.25">
      <c r="A23" t="s">
        <v>61</v>
      </c>
      <c r="B23" t="s">
        <v>21</v>
      </c>
      <c r="C23">
        <v>53</v>
      </c>
      <c r="D23" t="s">
        <v>11</v>
      </c>
      <c r="E23" t="s">
        <v>62</v>
      </c>
      <c r="F23" s="1">
        <v>45667</v>
      </c>
      <c r="G23" s="1">
        <v>45670</v>
      </c>
      <c r="H23">
        <v>17000</v>
      </c>
      <c r="I23" t="s">
        <v>13</v>
      </c>
    </row>
    <row r="24" spans="1:9" x14ac:dyDescent="0.25">
      <c r="A24" t="s">
        <v>63</v>
      </c>
      <c r="B24" t="s">
        <v>25</v>
      </c>
      <c r="C24">
        <v>30</v>
      </c>
      <c r="D24" t="s">
        <v>16</v>
      </c>
      <c r="E24" t="s">
        <v>64</v>
      </c>
      <c r="F24" s="1">
        <v>45668</v>
      </c>
      <c r="G24" s="1">
        <v>45668</v>
      </c>
      <c r="H24">
        <v>2500</v>
      </c>
      <c r="I24" t="s">
        <v>13</v>
      </c>
    </row>
    <row r="25" spans="1:9" x14ac:dyDescent="0.25">
      <c r="A25" t="s">
        <v>65</v>
      </c>
      <c r="B25" t="s">
        <v>10</v>
      </c>
      <c r="C25">
        <v>68</v>
      </c>
      <c r="D25" t="s">
        <v>11</v>
      </c>
      <c r="E25" t="s">
        <v>66</v>
      </c>
      <c r="F25" s="1">
        <v>45674</v>
      </c>
      <c r="G25" s="1">
        <v>45684</v>
      </c>
      <c r="H25">
        <v>50000</v>
      </c>
      <c r="I25" t="s">
        <v>31</v>
      </c>
    </row>
    <row r="26" spans="1:9" x14ac:dyDescent="0.25">
      <c r="A26" t="s">
        <v>67</v>
      </c>
      <c r="B26" t="s">
        <v>15</v>
      </c>
      <c r="C26">
        <v>34</v>
      </c>
      <c r="D26" t="s">
        <v>16</v>
      </c>
      <c r="E26" t="s">
        <v>45</v>
      </c>
      <c r="F26" s="1">
        <v>45673</v>
      </c>
      <c r="G26" s="1">
        <v>45676</v>
      </c>
      <c r="H26">
        <v>12000</v>
      </c>
      <c r="I26" t="s">
        <v>19</v>
      </c>
    </row>
    <row r="27" spans="1:9" x14ac:dyDescent="0.25">
      <c r="A27" t="s">
        <v>68</v>
      </c>
      <c r="B27" t="s">
        <v>21</v>
      </c>
      <c r="C27">
        <v>49</v>
      </c>
      <c r="D27" t="s">
        <v>11</v>
      </c>
      <c r="E27" t="s">
        <v>69</v>
      </c>
      <c r="F27" s="1">
        <v>45660</v>
      </c>
      <c r="G27" s="1">
        <v>45664</v>
      </c>
      <c r="H27">
        <v>18000</v>
      </c>
      <c r="I27" t="s">
        <v>13</v>
      </c>
    </row>
    <row r="28" spans="1:9" x14ac:dyDescent="0.25">
      <c r="A28" t="s">
        <v>70</v>
      </c>
      <c r="B28" t="s">
        <v>25</v>
      </c>
      <c r="C28">
        <v>22</v>
      </c>
      <c r="D28" t="s">
        <v>16</v>
      </c>
      <c r="E28" t="s">
        <v>71</v>
      </c>
      <c r="F28" s="1">
        <v>45662</v>
      </c>
      <c r="G28" s="1">
        <v>45662</v>
      </c>
      <c r="H28">
        <v>1500</v>
      </c>
      <c r="I28" t="s">
        <v>13</v>
      </c>
    </row>
    <row r="29" spans="1:9" x14ac:dyDescent="0.25">
      <c r="A29" t="s">
        <v>72</v>
      </c>
      <c r="B29" t="s">
        <v>10</v>
      </c>
      <c r="C29">
        <v>75</v>
      </c>
      <c r="D29" t="s">
        <v>11</v>
      </c>
      <c r="E29" t="s">
        <v>73</v>
      </c>
      <c r="F29" s="1">
        <v>45670</v>
      </c>
      <c r="G29" s="1">
        <v>45675</v>
      </c>
      <c r="H29">
        <v>25000</v>
      </c>
      <c r="I29" t="s">
        <v>19</v>
      </c>
    </row>
    <row r="30" spans="1:9" x14ac:dyDescent="0.25">
      <c r="A30" t="s">
        <v>74</v>
      </c>
      <c r="B30" t="s">
        <v>15</v>
      </c>
      <c r="C30">
        <v>57</v>
      </c>
      <c r="D30" t="s">
        <v>16</v>
      </c>
      <c r="E30" t="s">
        <v>75</v>
      </c>
      <c r="F30" s="1">
        <v>45659</v>
      </c>
      <c r="G30" s="1">
        <v>45666</v>
      </c>
      <c r="H30">
        <v>28000</v>
      </c>
      <c r="I30" t="s">
        <v>31</v>
      </c>
    </row>
    <row r="31" spans="1:9" x14ac:dyDescent="0.25">
      <c r="A31" t="s">
        <v>76</v>
      </c>
      <c r="B31" t="s">
        <v>21</v>
      </c>
      <c r="C31">
        <v>61</v>
      </c>
      <c r="D31" t="s">
        <v>11</v>
      </c>
      <c r="E31" t="s">
        <v>39</v>
      </c>
      <c r="F31" s="1">
        <v>45666</v>
      </c>
      <c r="G31" s="1">
        <v>45669</v>
      </c>
      <c r="H31">
        <v>14000</v>
      </c>
      <c r="I31" t="s">
        <v>19</v>
      </c>
    </row>
    <row r="32" spans="1:9" x14ac:dyDescent="0.25">
      <c r="A32" t="s">
        <v>77</v>
      </c>
      <c r="B32" t="s">
        <v>25</v>
      </c>
      <c r="C32">
        <v>28</v>
      </c>
      <c r="D32" t="s">
        <v>16</v>
      </c>
      <c r="E32" t="s">
        <v>41</v>
      </c>
      <c r="F32" s="1">
        <v>45670</v>
      </c>
      <c r="G32" s="1">
        <v>45671</v>
      </c>
      <c r="H32">
        <v>3000</v>
      </c>
      <c r="I32" t="s">
        <v>13</v>
      </c>
    </row>
    <row r="33" spans="1:9" x14ac:dyDescent="0.25">
      <c r="A33" t="s">
        <v>78</v>
      </c>
      <c r="B33" t="s">
        <v>10</v>
      </c>
      <c r="C33">
        <v>56</v>
      </c>
      <c r="D33" t="s">
        <v>11</v>
      </c>
      <c r="E33" t="s">
        <v>12</v>
      </c>
      <c r="F33" s="1">
        <v>45669</v>
      </c>
      <c r="G33" s="1">
        <v>45672</v>
      </c>
      <c r="H33">
        <v>15000</v>
      </c>
      <c r="I33" t="s">
        <v>13</v>
      </c>
    </row>
    <row r="34" spans="1:9" x14ac:dyDescent="0.25">
      <c r="A34" t="s">
        <v>79</v>
      </c>
      <c r="B34" t="s">
        <v>15</v>
      </c>
      <c r="D34" t="s">
        <v>16</v>
      </c>
      <c r="E34" t="s">
        <v>17</v>
      </c>
      <c r="F34" s="1">
        <v>45665</v>
      </c>
      <c r="G34" s="1">
        <v>45669</v>
      </c>
      <c r="H34">
        <v>8000</v>
      </c>
      <c r="I34" t="s">
        <v>19</v>
      </c>
    </row>
    <row r="35" spans="1:9" x14ac:dyDescent="0.25">
      <c r="A35" t="s">
        <v>80</v>
      </c>
      <c r="B35" t="s">
        <v>21</v>
      </c>
      <c r="C35">
        <v>67</v>
      </c>
      <c r="D35" t="s">
        <v>11</v>
      </c>
      <c r="E35" t="s">
        <v>22</v>
      </c>
      <c r="F35" s="1">
        <v>45662</v>
      </c>
      <c r="G35" s="1">
        <v>45667</v>
      </c>
      <c r="H35">
        <v>20000</v>
      </c>
      <c r="I35" t="s">
        <v>13</v>
      </c>
    </row>
    <row r="36" spans="1:9" x14ac:dyDescent="0.25">
      <c r="A36" t="s">
        <v>81</v>
      </c>
      <c r="B36" t="s">
        <v>25</v>
      </c>
      <c r="C36">
        <v>34</v>
      </c>
      <c r="D36" t="s">
        <v>11</v>
      </c>
      <c r="E36" t="s">
        <v>26</v>
      </c>
      <c r="F36" s="1">
        <v>45665</v>
      </c>
      <c r="G36" s="1">
        <v>45666</v>
      </c>
      <c r="I36" t="s">
        <v>19</v>
      </c>
    </row>
    <row r="37" spans="1:9" x14ac:dyDescent="0.25">
      <c r="A37" t="s">
        <v>82</v>
      </c>
      <c r="B37" t="s">
        <v>10</v>
      </c>
      <c r="C37">
        <v>73</v>
      </c>
      <c r="D37" t="s">
        <v>11</v>
      </c>
      <c r="E37" t="s">
        <v>35</v>
      </c>
      <c r="F37" s="1">
        <v>45667</v>
      </c>
      <c r="G37" t="s">
        <v>83</v>
      </c>
      <c r="H37">
        <v>40000</v>
      </c>
      <c r="I37" t="s">
        <v>31</v>
      </c>
    </row>
    <row r="38" spans="1:9" x14ac:dyDescent="0.25">
      <c r="A38" t="s">
        <v>84</v>
      </c>
      <c r="B38" t="s">
        <v>15</v>
      </c>
      <c r="C38">
        <v>39</v>
      </c>
      <c r="D38" t="s">
        <v>16</v>
      </c>
      <c r="E38" t="s">
        <v>37</v>
      </c>
      <c r="F38" s="1">
        <v>45672</v>
      </c>
      <c r="G38" s="1">
        <v>45679</v>
      </c>
      <c r="H38">
        <v>25000</v>
      </c>
      <c r="I38" t="s">
        <v>19</v>
      </c>
    </row>
    <row r="39" spans="1:9" x14ac:dyDescent="0.25">
      <c r="A39" t="s">
        <v>85</v>
      </c>
      <c r="B39" t="s">
        <v>21</v>
      </c>
      <c r="C39">
        <v>61</v>
      </c>
      <c r="D39" t="s">
        <v>11</v>
      </c>
      <c r="E39" t="s">
        <v>39</v>
      </c>
      <c r="F39" s="1">
        <v>45666</v>
      </c>
      <c r="G39" s="1">
        <v>45669</v>
      </c>
      <c r="H39">
        <v>14000</v>
      </c>
      <c r="I39" t="s">
        <v>19</v>
      </c>
    </row>
    <row r="40" spans="1:9" x14ac:dyDescent="0.25">
      <c r="A40" t="s">
        <v>86</v>
      </c>
      <c r="B40" t="s">
        <v>25</v>
      </c>
      <c r="C40">
        <v>28</v>
      </c>
      <c r="D40" t="s">
        <v>16</v>
      </c>
      <c r="E40" t="s">
        <v>41</v>
      </c>
      <c r="F40" s="1">
        <v>45670</v>
      </c>
      <c r="G40" s="1">
        <v>45671</v>
      </c>
      <c r="H40">
        <v>3000</v>
      </c>
      <c r="I40" t="s">
        <v>13</v>
      </c>
    </row>
    <row r="41" spans="1:9" x14ac:dyDescent="0.25">
      <c r="A41" t="s">
        <v>87</v>
      </c>
      <c r="B41" t="s">
        <v>10</v>
      </c>
      <c r="C41">
        <v>56</v>
      </c>
      <c r="D41" t="s">
        <v>11</v>
      </c>
      <c r="E41" t="s">
        <v>12</v>
      </c>
      <c r="F41" s="1">
        <v>45669</v>
      </c>
      <c r="G41" s="1">
        <v>45672</v>
      </c>
      <c r="H41">
        <v>15000</v>
      </c>
      <c r="I41" t="s">
        <v>13</v>
      </c>
    </row>
    <row r="42" spans="1:9" x14ac:dyDescent="0.25">
      <c r="A42" t="s">
        <v>88</v>
      </c>
      <c r="B42" t="s">
        <v>15</v>
      </c>
      <c r="C42">
        <v>45</v>
      </c>
      <c r="D42" t="s">
        <v>16</v>
      </c>
      <c r="E42" t="s">
        <v>17</v>
      </c>
      <c r="F42" s="1">
        <v>45669</v>
      </c>
      <c r="G42" s="1">
        <v>45670</v>
      </c>
      <c r="H42">
        <v>8000</v>
      </c>
      <c r="I42" t="s">
        <v>19</v>
      </c>
    </row>
    <row r="43" spans="1:9" x14ac:dyDescent="0.25">
      <c r="A43" t="s">
        <v>89</v>
      </c>
      <c r="B43" t="s">
        <v>21</v>
      </c>
      <c r="C43">
        <v>67</v>
      </c>
      <c r="D43" t="s">
        <v>11</v>
      </c>
      <c r="E43" t="s">
        <v>22</v>
      </c>
      <c r="F43" s="1">
        <v>45662</v>
      </c>
      <c r="G43" s="1">
        <v>45667</v>
      </c>
      <c r="H43">
        <v>20000</v>
      </c>
      <c r="I43" t="s">
        <v>13</v>
      </c>
    </row>
    <row r="44" spans="1:9" x14ac:dyDescent="0.25">
      <c r="A44" t="s">
        <v>90</v>
      </c>
      <c r="B44" t="s">
        <v>25</v>
      </c>
      <c r="C44">
        <v>34</v>
      </c>
      <c r="D44" t="s">
        <v>11</v>
      </c>
      <c r="E44" t="s">
        <v>26</v>
      </c>
      <c r="F44" s="1">
        <v>45665</v>
      </c>
      <c r="G44" s="1">
        <v>45666</v>
      </c>
      <c r="H44">
        <v>5000</v>
      </c>
      <c r="I44" t="s">
        <v>19</v>
      </c>
    </row>
    <row r="45" spans="1:9" x14ac:dyDescent="0.25">
      <c r="A45" t="s">
        <v>91</v>
      </c>
      <c r="B45" t="s">
        <v>10</v>
      </c>
      <c r="C45">
        <v>66</v>
      </c>
      <c r="D45" t="s">
        <v>11</v>
      </c>
      <c r="E45" t="s">
        <v>12</v>
      </c>
      <c r="F45" s="1">
        <v>45661</v>
      </c>
      <c r="G45" s="1">
        <v>45665</v>
      </c>
      <c r="H45">
        <v>15000</v>
      </c>
      <c r="I45" t="s">
        <v>13</v>
      </c>
    </row>
    <row r="46" spans="1:9" x14ac:dyDescent="0.25">
      <c r="A46" t="s">
        <v>92</v>
      </c>
      <c r="B46" t="s">
        <v>15</v>
      </c>
      <c r="C46">
        <v>44</v>
      </c>
      <c r="D46" t="s">
        <v>16</v>
      </c>
      <c r="E46" t="s">
        <v>45</v>
      </c>
      <c r="F46" s="1">
        <v>45664</v>
      </c>
      <c r="G46" s="1">
        <v>45667</v>
      </c>
      <c r="H46">
        <v>11000</v>
      </c>
      <c r="I46" t="s">
        <v>13</v>
      </c>
    </row>
    <row r="47" spans="1:9" x14ac:dyDescent="0.25">
      <c r="A47" t="s">
        <v>93</v>
      </c>
      <c r="B47" t="s">
        <v>21</v>
      </c>
      <c r="C47">
        <v>50</v>
      </c>
      <c r="D47" t="s">
        <v>11</v>
      </c>
      <c r="E47" t="s">
        <v>47</v>
      </c>
      <c r="F47" s="1">
        <v>45678</v>
      </c>
      <c r="G47" s="1">
        <v>45682</v>
      </c>
      <c r="H47">
        <v>13000</v>
      </c>
      <c r="I47" t="s">
        <v>19</v>
      </c>
    </row>
    <row r="48" spans="1:9" x14ac:dyDescent="0.25">
      <c r="A48" t="s">
        <v>94</v>
      </c>
      <c r="B48" t="s">
        <v>25</v>
      </c>
      <c r="C48">
        <v>37</v>
      </c>
      <c r="D48" t="s">
        <v>16</v>
      </c>
      <c r="E48" t="s">
        <v>49</v>
      </c>
      <c r="F48" s="1">
        <v>45673</v>
      </c>
      <c r="G48" s="1">
        <v>45674</v>
      </c>
      <c r="H48">
        <v>3500</v>
      </c>
      <c r="I48" t="s">
        <v>13</v>
      </c>
    </row>
    <row r="49" spans="1:9" x14ac:dyDescent="0.25">
      <c r="A49" t="s">
        <v>95</v>
      </c>
      <c r="B49" t="s">
        <v>10</v>
      </c>
      <c r="C49">
        <v>59</v>
      </c>
      <c r="D49" t="s">
        <v>11</v>
      </c>
      <c r="E49" t="s">
        <v>23</v>
      </c>
      <c r="F49" s="1">
        <v>45659</v>
      </c>
      <c r="G49" s="1">
        <v>45660</v>
      </c>
      <c r="H49">
        <v>9000</v>
      </c>
      <c r="I49" t="s">
        <v>13</v>
      </c>
    </row>
    <row r="50" spans="1:9" x14ac:dyDescent="0.25">
      <c r="A50" t="s">
        <v>96</v>
      </c>
      <c r="B50" t="s">
        <v>15</v>
      </c>
      <c r="C50">
        <v>47</v>
      </c>
      <c r="D50" t="s">
        <v>16</v>
      </c>
      <c r="E50" t="s">
        <v>60</v>
      </c>
      <c r="F50" s="1">
        <v>45666</v>
      </c>
      <c r="G50" s="1">
        <v>45667</v>
      </c>
      <c r="H50">
        <v>6000</v>
      </c>
      <c r="I50" t="s">
        <v>19</v>
      </c>
    </row>
    <row r="51" spans="1:9" x14ac:dyDescent="0.25">
      <c r="A51" t="s">
        <v>97</v>
      </c>
      <c r="B51" t="s">
        <v>21</v>
      </c>
      <c r="C51">
        <v>53</v>
      </c>
      <c r="D51" t="s">
        <v>11</v>
      </c>
      <c r="E51" t="s">
        <v>62</v>
      </c>
      <c r="F51" s="1">
        <v>45667</v>
      </c>
      <c r="G51" s="1">
        <v>45670</v>
      </c>
      <c r="H51">
        <v>17000</v>
      </c>
      <c r="I51" t="s">
        <v>13</v>
      </c>
    </row>
    <row r="52" spans="1:9" x14ac:dyDescent="0.25">
      <c r="A52" t="s">
        <v>98</v>
      </c>
      <c r="B52" t="s">
        <v>25</v>
      </c>
      <c r="C52">
        <v>30</v>
      </c>
      <c r="D52" t="s">
        <v>16</v>
      </c>
      <c r="E52" t="s">
        <v>64</v>
      </c>
      <c r="F52" s="1">
        <v>45668</v>
      </c>
      <c r="G52" s="1">
        <v>45668</v>
      </c>
      <c r="H52">
        <v>2500</v>
      </c>
      <c r="I52" t="s">
        <v>13</v>
      </c>
    </row>
    <row r="53" spans="1:9" x14ac:dyDescent="0.25">
      <c r="A53" t="s">
        <v>99</v>
      </c>
      <c r="B53" t="s">
        <v>10</v>
      </c>
      <c r="C53">
        <v>68</v>
      </c>
      <c r="D53" t="s">
        <v>11</v>
      </c>
      <c r="E53" t="s">
        <v>66</v>
      </c>
      <c r="F53" s="1">
        <v>45674</v>
      </c>
      <c r="G53" s="1">
        <v>45684</v>
      </c>
      <c r="H53">
        <v>50000</v>
      </c>
      <c r="I53" t="s">
        <v>31</v>
      </c>
    </row>
    <row r="54" spans="1:9" x14ac:dyDescent="0.25">
      <c r="A54" t="s">
        <v>100</v>
      </c>
      <c r="B54" t="s">
        <v>15</v>
      </c>
      <c r="C54">
        <v>34</v>
      </c>
      <c r="D54" t="s">
        <v>16</v>
      </c>
      <c r="E54" t="s">
        <v>45</v>
      </c>
      <c r="F54" s="1">
        <v>45673</v>
      </c>
      <c r="G54" s="1">
        <v>45676</v>
      </c>
      <c r="H54">
        <v>12000</v>
      </c>
      <c r="I54" t="s">
        <v>19</v>
      </c>
    </row>
    <row r="55" spans="1:9" x14ac:dyDescent="0.25">
      <c r="A55" t="s">
        <v>101</v>
      </c>
      <c r="B55" t="s">
        <v>21</v>
      </c>
      <c r="C55">
        <v>49</v>
      </c>
      <c r="D55" t="s">
        <v>11</v>
      </c>
      <c r="E55" t="s">
        <v>69</v>
      </c>
      <c r="F55" s="1">
        <v>45660</v>
      </c>
      <c r="G55" s="1">
        <v>45664</v>
      </c>
      <c r="H55">
        <v>18000</v>
      </c>
      <c r="I55" t="s">
        <v>13</v>
      </c>
    </row>
    <row r="56" spans="1:9" x14ac:dyDescent="0.25">
      <c r="A56" t="s">
        <v>102</v>
      </c>
      <c r="B56" t="s">
        <v>25</v>
      </c>
      <c r="C56">
        <v>22</v>
      </c>
      <c r="D56" t="s">
        <v>16</v>
      </c>
      <c r="E56" t="s">
        <v>71</v>
      </c>
      <c r="F56" s="1">
        <v>45662</v>
      </c>
      <c r="G56" s="1">
        <v>45662</v>
      </c>
      <c r="H56">
        <v>1500</v>
      </c>
      <c r="I56" t="s">
        <v>13</v>
      </c>
    </row>
    <row r="57" spans="1:9" x14ac:dyDescent="0.25">
      <c r="A57" t="s">
        <v>103</v>
      </c>
      <c r="B57" t="s">
        <v>10</v>
      </c>
      <c r="C57">
        <v>75</v>
      </c>
      <c r="D57" t="s">
        <v>11</v>
      </c>
      <c r="E57" t="s">
        <v>73</v>
      </c>
      <c r="F57" s="1">
        <v>45670</v>
      </c>
      <c r="G57" s="1">
        <v>45675</v>
      </c>
      <c r="H57">
        <v>25000</v>
      </c>
      <c r="I57" t="s">
        <v>19</v>
      </c>
    </row>
    <row r="58" spans="1:9" x14ac:dyDescent="0.25">
      <c r="A58" t="s">
        <v>104</v>
      </c>
      <c r="B58" t="s">
        <v>15</v>
      </c>
      <c r="C58">
        <v>57</v>
      </c>
      <c r="D58" t="s">
        <v>16</v>
      </c>
      <c r="E58" t="s">
        <v>75</v>
      </c>
      <c r="F58" s="1">
        <v>45659</v>
      </c>
      <c r="G58" s="1">
        <v>45666</v>
      </c>
      <c r="H58">
        <v>28000</v>
      </c>
      <c r="I58" t="s">
        <v>31</v>
      </c>
    </row>
    <row r="59" spans="1:9" x14ac:dyDescent="0.25">
      <c r="A59" t="s">
        <v>105</v>
      </c>
      <c r="B59" t="s">
        <v>21</v>
      </c>
      <c r="C59">
        <v>61</v>
      </c>
      <c r="D59" t="s">
        <v>11</v>
      </c>
      <c r="E59" t="s">
        <v>39</v>
      </c>
      <c r="F59" s="1">
        <v>45666</v>
      </c>
      <c r="G59" s="1">
        <v>45669</v>
      </c>
      <c r="H59">
        <v>14000</v>
      </c>
      <c r="I59" t="s">
        <v>19</v>
      </c>
    </row>
    <row r="60" spans="1:9" x14ac:dyDescent="0.25">
      <c r="A60" t="s">
        <v>106</v>
      </c>
      <c r="B60" t="s">
        <v>25</v>
      </c>
      <c r="C60">
        <v>28</v>
      </c>
      <c r="D60" t="s">
        <v>16</v>
      </c>
      <c r="E60" t="s">
        <v>41</v>
      </c>
      <c r="F60" s="1">
        <v>45670</v>
      </c>
      <c r="G60" s="1">
        <v>45671</v>
      </c>
      <c r="H60">
        <v>3000</v>
      </c>
      <c r="I60" t="s">
        <v>13</v>
      </c>
    </row>
    <row r="61" spans="1:9" x14ac:dyDescent="0.25">
      <c r="A61" t="s">
        <v>107</v>
      </c>
      <c r="B61" t="s">
        <v>10</v>
      </c>
      <c r="C61">
        <v>66</v>
      </c>
      <c r="D61" t="s">
        <v>11</v>
      </c>
      <c r="E61" t="s">
        <v>12</v>
      </c>
      <c r="F61" s="1">
        <v>45661</v>
      </c>
      <c r="G61" s="1">
        <v>45665</v>
      </c>
      <c r="H61">
        <v>15000</v>
      </c>
      <c r="I61" t="s">
        <v>13</v>
      </c>
    </row>
    <row r="62" spans="1:9" x14ac:dyDescent="0.25">
      <c r="A62" t="s">
        <v>108</v>
      </c>
      <c r="B62" t="s">
        <v>15</v>
      </c>
      <c r="C62">
        <v>44</v>
      </c>
      <c r="D62" t="s">
        <v>16</v>
      </c>
      <c r="E62" t="s">
        <v>45</v>
      </c>
      <c r="F62" s="1">
        <v>45664</v>
      </c>
      <c r="G62" s="1">
        <v>45667</v>
      </c>
      <c r="H62">
        <v>11000</v>
      </c>
      <c r="I62" t="s">
        <v>13</v>
      </c>
    </row>
    <row r="63" spans="1:9" x14ac:dyDescent="0.25">
      <c r="A63" t="s">
        <v>109</v>
      </c>
      <c r="B63" t="s">
        <v>21</v>
      </c>
      <c r="C63">
        <v>50</v>
      </c>
      <c r="D63" t="s">
        <v>11</v>
      </c>
      <c r="E63" t="s">
        <v>47</v>
      </c>
      <c r="F63" s="1">
        <v>45678</v>
      </c>
      <c r="G63" s="1">
        <v>45682</v>
      </c>
      <c r="H63">
        <v>13000</v>
      </c>
      <c r="I63" t="s">
        <v>19</v>
      </c>
    </row>
    <row r="64" spans="1:9" x14ac:dyDescent="0.25">
      <c r="A64" t="s">
        <v>110</v>
      </c>
      <c r="B64" t="s">
        <v>25</v>
      </c>
      <c r="C64">
        <v>37</v>
      </c>
      <c r="D64" t="s">
        <v>16</v>
      </c>
      <c r="E64" t="s">
        <v>49</v>
      </c>
      <c r="F64" s="1">
        <v>45673</v>
      </c>
      <c r="G64" s="1">
        <v>45674</v>
      </c>
      <c r="H64">
        <v>3500</v>
      </c>
      <c r="I64" t="s">
        <v>13</v>
      </c>
    </row>
    <row r="65" spans="1:9" x14ac:dyDescent="0.25">
      <c r="A65" t="s">
        <v>111</v>
      </c>
      <c r="B65" t="s">
        <v>10</v>
      </c>
      <c r="C65">
        <v>59</v>
      </c>
      <c r="D65" t="s">
        <v>11</v>
      </c>
      <c r="E65" t="s">
        <v>23</v>
      </c>
      <c r="F65" s="1">
        <v>45659</v>
      </c>
      <c r="G65" s="1">
        <v>45660</v>
      </c>
      <c r="H65">
        <v>9000</v>
      </c>
      <c r="I65" t="s">
        <v>13</v>
      </c>
    </row>
    <row r="66" spans="1:9" x14ac:dyDescent="0.25">
      <c r="A66" t="s">
        <v>112</v>
      </c>
      <c r="B66" t="s">
        <v>15</v>
      </c>
      <c r="C66">
        <v>47</v>
      </c>
      <c r="D66" t="s">
        <v>16</v>
      </c>
      <c r="E66" t="s">
        <v>60</v>
      </c>
      <c r="F66" s="1">
        <v>45666</v>
      </c>
      <c r="G66" s="1">
        <v>45667</v>
      </c>
      <c r="H66">
        <v>6000</v>
      </c>
      <c r="I66" t="s">
        <v>19</v>
      </c>
    </row>
    <row r="67" spans="1:9" x14ac:dyDescent="0.25">
      <c r="A67" t="s">
        <v>113</v>
      </c>
      <c r="B67" t="s">
        <v>21</v>
      </c>
      <c r="C67">
        <v>53</v>
      </c>
      <c r="D67" t="s">
        <v>11</v>
      </c>
      <c r="E67" t="s">
        <v>62</v>
      </c>
      <c r="F67" s="1">
        <v>45667</v>
      </c>
      <c r="G67" s="1">
        <v>45670</v>
      </c>
      <c r="H67">
        <v>17000</v>
      </c>
      <c r="I67" t="s">
        <v>13</v>
      </c>
    </row>
    <row r="68" spans="1:9" x14ac:dyDescent="0.25">
      <c r="A68" t="s">
        <v>114</v>
      </c>
      <c r="B68" t="s">
        <v>25</v>
      </c>
      <c r="C68">
        <v>30</v>
      </c>
      <c r="D68" t="s">
        <v>16</v>
      </c>
      <c r="E68" t="s">
        <v>64</v>
      </c>
      <c r="F68" s="1">
        <v>45668</v>
      </c>
      <c r="G68" s="1">
        <v>45668</v>
      </c>
      <c r="H68">
        <v>2500</v>
      </c>
      <c r="I68" t="s">
        <v>13</v>
      </c>
    </row>
    <row r="69" spans="1:9" x14ac:dyDescent="0.25">
      <c r="A69" t="s">
        <v>115</v>
      </c>
      <c r="B69" t="s">
        <v>10</v>
      </c>
      <c r="C69">
        <v>68</v>
      </c>
      <c r="D69" t="s">
        <v>11</v>
      </c>
      <c r="E69" t="s">
        <v>66</v>
      </c>
      <c r="F69" s="1">
        <v>45674</v>
      </c>
      <c r="G69" s="1">
        <v>45684</v>
      </c>
      <c r="H69">
        <v>50000</v>
      </c>
      <c r="I69" t="s">
        <v>31</v>
      </c>
    </row>
    <row r="70" spans="1:9" x14ac:dyDescent="0.25">
      <c r="A70" t="s">
        <v>116</v>
      </c>
      <c r="B70" t="s">
        <v>15</v>
      </c>
      <c r="C70">
        <v>34</v>
      </c>
      <c r="D70" t="s">
        <v>16</v>
      </c>
      <c r="E70" t="s">
        <v>45</v>
      </c>
      <c r="F70" s="1">
        <v>45673</v>
      </c>
      <c r="G70" s="1">
        <v>45676</v>
      </c>
      <c r="H70">
        <v>12000</v>
      </c>
      <c r="I70" t="s">
        <v>19</v>
      </c>
    </row>
    <row r="71" spans="1:9" x14ac:dyDescent="0.25">
      <c r="A71" t="s">
        <v>117</v>
      </c>
      <c r="B71" t="s">
        <v>21</v>
      </c>
      <c r="C71">
        <v>49</v>
      </c>
      <c r="D71" t="s">
        <v>11</v>
      </c>
      <c r="E71" t="s">
        <v>69</v>
      </c>
      <c r="F71" s="1">
        <v>45660</v>
      </c>
      <c r="G71" s="1">
        <v>45664</v>
      </c>
      <c r="H71">
        <v>18000</v>
      </c>
      <c r="I71" t="s">
        <v>13</v>
      </c>
    </row>
    <row r="72" spans="1:9" x14ac:dyDescent="0.25">
      <c r="A72" t="s">
        <v>118</v>
      </c>
      <c r="B72" t="s">
        <v>25</v>
      </c>
      <c r="C72">
        <v>22</v>
      </c>
      <c r="D72" t="s">
        <v>16</v>
      </c>
      <c r="E72" t="s">
        <v>71</v>
      </c>
      <c r="F72" s="1">
        <v>45662</v>
      </c>
      <c r="G72" s="1">
        <v>45662</v>
      </c>
      <c r="H72">
        <v>1500</v>
      </c>
      <c r="I72" t="s">
        <v>13</v>
      </c>
    </row>
    <row r="73" spans="1:9" x14ac:dyDescent="0.25">
      <c r="A73" t="s">
        <v>119</v>
      </c>
      <c r="B73" t="s">
        <v>10</v>
      </c>
      <c r="C73">
        <v>75</v>
      </c>
      <c r="D73" t="s">
        <v>11</v>
      </c>
      <c r="E73" t="s">
        <v>73</v>
      </c>
      <c r="F73" s="1">
        <v>45670</v>
      </c>
      <c r="G73" s="1">
        <v>45675</v>
      </c>
      <c r="H73">
        <v>25000</v>
      </c>
      <c r="I73" t="s">
        <v>19</v>
      </c>
    </row>
    <row r="74" spans="1:9" x14ac:dyDescent="0.25">
      <c r="A74" t="s">
        <v>120</v>
      </c>
      <c r="B74" t="s">
        <v>15</v>
      </c>
      <c r="C74">
        <v>57</v>
      </c>
      <c r="D74" t="s">
        <v>16</v>
      </c>
      <c r="E74" t="s">
        <v>75</v>
      </c>
      <c r="F74" s="1">
        <v>45659</v>
      </c>
      <c r="G74" s="1">
        <v>45666</v>
      </c>
      <c r="H74">
        <v>28000</v>
      </c>
      <c r="I74" t="s">
        <v>31</v>
      </c>
    </row>
    <row r="75" spans="1:9" x14ac:dyDescent="0.25">
      <c r="A75" t="s">
        <v>121</v>
      </c>
      <c r="B75" t="s">
        <v>21</v>
      </c>
      <c r="C75">
        <v>61</v>
      </c>
      <c r="D75" t="s">
        <v>11</v>
      </c>
      <c r="E75" t="s">
        <v>39</v>
      </c>
      <c r="F75" s="1">
        <v>45666</v>
      </c>
      <c r="G75" s="1">
        <v>45669</v>
      </c>
      <c r="H75">
        <v>14000</v>
      </c>
      <c r="I75" t="s">
        <v>19</v>
      </c>
    </row>
    <row r="76" spans="1:9" x14ac:dyDescent="0.25">
      <c r="A76" t="s">
        <v>122</v>
      </c>
      <c r="B76" t="s">
        <v>25</v>
      </c>
      <c r="C76">
        <v>28</v>
      </c>
      <c r="D76" t="s">
        <v>16</v>
      </c>
      <c r="E76" t="s">
        <v>41</v>
      </c>
      <c r="F76" s="1">
        <v>45670</v>
      </c>
      <c r="G76" s="1">
        <v>45671</v>
      </c>
      <c r="H76">
        <v>3000</v>
      </c>
      <c r="I76" t="s">
        <v>13</v>
      </c>
    </row>
    <row r="77" spans="1:9" x14ac:dyDescent="0.25">
      <c r="A77" t="s">
        <v>123</v>
      </c>
      <c r="B77" t="s">
        <v>10</v>
      </c>
      <c r="C77">
        <v>66</v>
      </c>
      <c r="D77" t="s">
        <v>11</v>
      </c>
      <c r="E77" t="s">
        <v>12</v>
      </c>
      <c r="F77" s="1">
        <v>45661</v>
      </c>
      <c r="G77" s="1">
        <v>45665</v>
      </c>
      <c r="H77">
        <v>15000</v>
      </c>
      <c r="I77" t="s">
        <v>13</v>
      </c>
    </row>
    <row r="78" spans="1:9" x14ac:dyDescent="0.25">
      <c r="A78" t="s">
        <v>124</v>
      </c>
      <c r="B78" t="s">
        <v>15</v>
      </c>
      <c r="C78">
        <v>44</v>
      </c>
      <c r="D78" t="s">
        <v>16</v>
      </c>
      <c r="E78" t="s">
        <v>45</v>
      </c>
      <c r="F78" s="1">
        <v>45664</v>
      </c>
      <c r="G78" s="1">
        <v>45667</v>
      </c>
      <c r="H78">
        <v>11000</v>
      </c>
      <c r="I78" t="s">
        <v>13</v>
      </c>
    </row>
    <row r="79" spans="1:9" x14ac:dyDescent="0.25">
      <c r="A79" t="s">
        <v>125</v>
      </c>
      <c r="B79" t="s">
        <v>21</v>
      </c>
      <c r="C79">
        <v>50</v>
      </c>
      <c r="D79" t="s">
        <v>11</v>
      </c>
      <c r="E79" t="s">
        <v>47</v>
      </c>
      <c r="F79" s="1">
        <v>45678</v>
      </c>
      <c r="G79" s="1">
        <v>45682</v>
      </c>
      <c r="H79">
        <v>13000</v>
      </c>
      <c r="I79" t="s">
        <v>19</v>
      </c>
    </row>
    <row r="80" spans="1:9" x14ac:dyDescent="0.25">
      <c r="A80" t="s">
        <v>126</v>
      </c>
      <c r="B80" t="s">
        <v>25</v>
      </c>
      <c r="C80">
        <v>37</v>
      </c>
      <c r="D80" t="s">
        <v>16</v>
      </c>
      <c r="E80" t="s">
        <v>49</v>
      </c>
      <c r="F80" s="1">
        <v>45673</v>
      </c>
      <c r="G80" s="1">
        <v>45674</v>
      </c>
      <c r="H80">
        <v>3500</v>
      </c>
      <c r="I80" t="s">
        <v>13</v>
      </c>
    </row>
    <row r="81" spans="1:9" x14ac:dyDescent="0.25">
      <c r="A81" t="s">
        <v>127</v>
      </c>
      <c r="B81" t="s">
        <v>10</v>
      </c>
      <c r="C81">
        <v>59</v>
      </c>
      <c r="D81" t="s">
        <v>11</v>
      </c>
      <c r="E81" t="s">
        <v>23</v>
      </c>
      <c r="F81" s="1">
        <v>45659</v>
      </c>
      <c r="G81" s="1">
        <v>45660</v>
      </c>
      <c r="H81">
        <v>9000</v>
      </c>
      <c r="I81" t="s">
        <v>13</v>
      </c>
    </row>
    <row r="82" spans="1:9" x14ac:dyDescent="0.25">
      <c r="A82" t="s">
        <v>128</v>
      </c>
      <c r="B82" t="s">
        <v>15</v>
      </c>
      <c r="C82">
        <v>47</v>
      </c>
      <c r="D82" t="s">
        <v>16</v>
      </c>
      <c r="E82" t="s">
        <v>60</v>
      </c>
      <c r="F82" s="1">
        <v>45666</v>
      </c>
      <c r="G82" s="1">
        <v>45667</v>
      </c>
      <c r="H82">
        <v>6000</v>
      </c>
      <c r="I82" t="s">
        <v>19</v>
      </c>
    </row>
    <row r="83" spans="1:9" x14ac:dyDescent="0.25">
      <c r="A83" t="s">
        <v>129</v>
      </c>
      <c r="B83" t="s">
        <v>21</v>
      </c>
      <c r="C83">
        <v>53</v>
      </c>
      <c r="D83" t="s">
        <v>11</v>
      </c>
      <c r="E83" t="s">
        <v>62</v>
      </c>
      <c r="F83" s="1">
        <v>45667</v>
      </c>
      <c r="G83" s="1">
        <v>45670</v>
      </c>
      <c r="H83">
        <v>17000</v>
      </c>
      <c r="I83" t="s">
        <v>13</v>
      </c>
    </row>
    <row r="84" spans="1:9" x14ac:dyDescent="0.25">
      <c r="A84" t="s">
        <v>130</v>
      </c>
      <c r="B84" t="s">
        <v>25</v>
      </c>
      <c r="C84">
        <v>30</v>
      </c>
      <c r="D84" t="s">
        <v>16</v>
      </c>
      <c r="E84" t="s">
        <v>64</v>
      </c>
      <c r="F84" s="1">
        <v>45668</v>
      </c>
      <c r="G84" s="1">
        <v>45668</v>
      </c>
      <c r="H84">
        <v>2500</v>
      </c>
      <c r="I84" t="s">
        <v>13</v>
      </c>
    </row>
    <row r="85" spans="1:9" x14ac:dyDescent="0.25">
      <c r="A85" t="s">
        <v>131</v>
      </c>
      <c r="B85" t="s">
        <v>10</v>
      </c>
      <c r="C85">
        <v>68</v>
      </c>
      <c r="D85" t="s">
        <v>11</v>
      </c>
      <c r="E85" t="s">
        <v>66</v>
      </c>
      <c r="F85" s="1">
        <v>45674</v>
      </c>
      <c r="G85" s="1">
        <v>45684</v>
      </c>
      <c r="H85">
        <v>50000</v>
      </c>
      <c r="I85" t="s">
        <v>31</v>
      </c>
    </row>
    <row r="86" spans="1:9" x14ac:dyDescent="0.25">
      <c r="A86" t="s">
        <v>132</v>
      </c>
      <c r="B86" t="s">
        <v>15</v>
      </c>
      <c r="C86">
        <v>34</v>
      </c>
      <c r="D86" t="s">
        <v>16</v>
      </c>
      <c r="E86" t="s">
        <v>45</v>
      </c>
      <c r="F86" s="1">
        <v>45673</v>
      </c>
      <c r="G86" s="1">
        <v>45676</v>
      </c>
      <c r="H86">
        <v>12000</v>
      </c>
      <c r="I86" t="s">
        <v>19</v>
      </c>
    </row>
    <row r="87" spans="1:9" x14ac:dyDescent="0.25">
      <c r="A87" t="s">
        <v>133</v>
      </c>
      <c r="B87" t="s">
        <v>21</v>
      </c>
      <c r="C87">
        <v>49</v>
      </c>
      <c r="D87" t="s">
        <v>11</v>
      </c>
      <c r="E87" t="s">
        <v>69</v>
      </c>
      <c r="F87" s="1">
        <v>45660</v>
      </c>
      <c r="G87" s="1">
        <v>45664</v>
      </c>
      <c r="H87">
        <v>18000</v>
      </c>
      <c r="I87" t="s">
        <v>13</v>
      </c>
    </row>
    <row r="88" spans="1:9" x14ac:dyDescent="0.25">
      <c r="A88" t="s">
        <v>134</v>
      </c>
      <c r="B88" t="s">
        <v>25</v>
      </c>
      <c r="C88">
        <v>22</v>
      </c>
      <c r="D88" t="s">
        <v>16</v>
      </c>
      <c r="E88" t="s">
        <v>71</v>
      </c>
      <c r="F88" s="1">
        <v>45662</v>
      </c>
      <c r="G88" s="1">
        <v>45662</v>
      </c>
      <c r="H88">
        <v>1500</v>
      </c>
      <c r="I88" t="s">
        <v>13</v>
      </c>
    </row>
    <row r="89" spans="1:9" x14ac:dyDescent="0.25">
      <c r="A89" t="s">
        <v>135</v>
      </c>
      <c r="B89" t="s">
        <v>10</v>
      </c>
      <c r="C89">
        <v>75</v>
      </c>
      <c r="D89" t="s">
        <v>11</v>
      </c>
      <c r="E89" t="s">
        <v>73</v>
      </c>
      <c r="F89" s="1">
        <v>45670</v>
      </c>
      <c r="G89" s="1">
        <v>45675</v>
      </c>
      <c r="H89">
        <v>25000</v>
      </c>
      <c r="I89" t="s">
        <v>19</v>
      </c>
    </row>
    <row r="90" spans="1:9" x14ac:dyDescent="0.25">
      <c r="A90" t="s">
        <v>136</v>
      </c>
      <c r="B90" t="s">
        <v>15</v>
      </c>
      <c r="C90">
        <v>57</v>
      </c>
      <c r="D90" t="s">
        <v>16</v>
      </c>
      <c r="E90" t="s">
        <v>75</v>
      </c>
      <c r="F90" s="1">
        <v>45659</v>
      </c>
      <c r="G90" s="1">
        <v>45666</v>
      </c>
      <c r="H90">
        <v>28000</v>
      </c>
      <c r="I90" t="s">
        <v>31</v>
      </c>
    </row>
    <row r="91" spans="1:9" x14ac:dyDescent="0.25">
      <c r="A91" t="s">
        <v>137</v>
      </c>
      <c r="B91" t="s">
        <v>21</v>
      </c>
      <c r="C91">
        <v>61</v>
      </c>
      <c r="D91" t="s">
        <v>11</v>
      </c>
      <c r="E91" t="s">
        <v>39</v>
      </c>
      <c r="F91" s="1">
        <v>45666</v>
      </c>
      <c r="G91" s="1">
        <v>45669</v>
      </c>
      <c r="H91">
        <v>14000</v>
      </c>
      <c r="I91" t="s">
        <v>19</v>
      </c>
    </row>
    <row r="92" spans="1:9" x14ac:dyDescent="0.25">
      <c r="A92" t="s">
        <v>138</v>
      </c>
      <c r="B92" t="s">
        <v>25</v>
      </c>
      <c r="C92">
        <v>28</v>
      </c>
      <c r="D92" t="s">
        <v>16</v>
      </c>
      <c r="E92" t="s">
        <v>41</v>
      </c>
      <c r="F92" s="1">
        <v>45670</v>
      </c>
      <c r="G92" s="1">
        <v>45671</v>
      </c>
      <c r="H92">
        <v>3000</v>
      </c>
      <c r="I92" t="s">
        <v>13</v>
      </c>
    </row>
    <row r="93" spans="1:9" x14ac:dyDescent="0.25">
      <c r="A93" t="s">
        <v>139</v>
      </c>
      <c r="B93" t="s">
        <v>10</v>
      </c>
      <c r="C93">
        <v>66</v>
      </c>
      <c r="D93" t="s">
        <v>11</v>
      </c>
      <c r="E93" t="s">
        <v>12</v>
      </c>
      <c r="F93" s="1">
        <v>45661</v>
      </c>
      <c r="G93" s="1">
        <v>45665</v>
      </c>
      <c r="H93">
        <v>15000</v>
      </c>
      <c r="I93" t="s">
        <v>13</v>
      </c>
    </row>
    <row r="94" spans="1:9" x14ac:dyDescent="0.25">
      <c r="A94" t="s">
        <v>140</v>
      </c>
      <c r="B94" t="s">
        <v>15</v>
      </c>
      <c r="C94">
        <v>44</v>
      </c>
      <c r="D94" t="s">
        <v>16</v>
      </c>
      <c r="E94" t="s">
        <v>45</v>
      </c>
      <c r="F94" s="1">
        <v>45664</v>
      </c>
      <c r="G94" s="1">
        <v>45667</v>
      </c>
      <c r="H94">
        <v>11000</v>
      </c>
      <c r="I94" t="s">
        <v>13</v>
      </c>
    </row>
    <row r="95" spans="1:9" x14ac:dyDescent="0.25">
      <c r="A95" t="s">
        <v>141</v>
      </c>
      <c r="B95" t="s">
        <v>21</v>
      </c>
      <c r="C95">
        <v>50</v>
      </c>
      <c r="D95" t="s">
        <v>11</v>
      </c>
      <c r="E95" t="s">
        <v>47</v>
      </c>
      <c r="F95" s="1">
        <v>45678</v>
      </c>
      <c r="G95" s="1">
        <v>45682</v>
      </c>
      <c r="H95">
        <v>13000</v>
      </c>
      <c r="I95" t="s">
        <v>19</v>
      </c>
    </row>
    <row r="96" spans="1:9" x14ac:dyDescent="0.25">
      <c r="A96" t="s">
        <v>142</v>
      </c>
      <c r="B96" t="s">
        <v>25</v>
      </c>
      <c r="C96">
        <v>37</v>
      </c>
      <c r="D96" t="s">
        <v>16</v>
      </c>
      <c r="E96" t="s">
        <v>49</v>
      </c>
      <c r="F96" s="1">
        <v>45673</v>
      </c>
      <c r="G96" s="1">
        <v>45674</v>
      </c>
      <c r="H96">
        <v>3500</v>
      </c>
      <c r="I96" t="s">
        <v>13</v>
      </c>
    </row>
    <row r="97" spans="1:9" x14ac:dyDescent="0.25">
      <c r="A97" t="s">
        <v>143</v>
      </c>
      <c r="B97" t="s">
        <v>10</v>
      </c>
      <c r="C97">
        <v>59</v>
      </c>
      <c r="D97" t="s">
        <v>11</v>
      </c>
      <c r="E97" t="s">
        <v>23</v>
      </c>
      <c r="F97" s="1">
        <v>45659</v>
      </c>
      <c r="G97" s="1">
        <v>45660</v>
      </c>
      <c r="H97">
        <v>9000</v>
      </c>
      <c r="I97" t="s">
        <v>13</v>
      </c>
    </row>
    <row r="98" spans="1:9" x14ac:dyDescent="0.25">
      <c r="A98" t="s">
        <v>144</v>
      </c>
      <c r="B98" t="s">
        <v>15</v>
      </c>
      <c r="C98">
        <v>47</v>
      </c>
      <c r="D98" t="s">
        <v>16</v>
      </c>
      <c r="E98" t="s">
        <v>60</v>
      </c>
      <c r="F98" s="1">
        <v>45666</v>
      </c>
      <c r="G98" s="1">
        <v>45667</v>
      </c>
      <c r="H98">
        <v>6000</v>
      </c>
      <c r="I98" t="s">
        <v>19</v>
      </c>
    </row>
    <row r="99" spans="1:9" x14ac:dyDescent="0.25">
      <c r="A99" t="s">
        <v>145</v>
      </c>
      <c r="B99" t="s">
        <v>21</v>
      </c>
      <c r="C99">
        <v>53</v>
      </c>
      <c r="D99" t="s">
        <v>11</v>
      </c>
      <c r="E99" t="s">
        <v>62</v>
      </c>
      <c r="F99" s="1">
        <v>45667</v>
      </c>
      <c r="G99" s="1">
        <v>45670</v>
      </c>
      <c r="H99">
        <v>17000</v>
      </c>
      <c r="I99" t="s">
        <v>13</v>
      </c>
    </row>
    <row r="100" spans="1:9" x14ac:dyDescent="0.25">
      <c r="A100" t="s">
        <v>146</v>
      </c>
      <c r="B100" t="s">
        <v>25</v>
      </c>
      <c r="C100">
        <v>30</v>
      </c>
      <c r="D100" t="s">
        <v>16</v>
      </c>
      <c r="E100" t="s">
        <v>64</v>
      </c>
      <c r="F100" s="1">
        <v>45668</v>
      </c>
      <c r="G100" s="1">
        <v>45668</v>
      </c>
      <c r="H100">
        <v>2500</v>
      </c>
      <c r="I100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42C05-492D-4D79-A44C-2CF141AFB7B2}">
  <dimension ref="A1:J1048576"/>
  <sheetViews>
    <sheetView zoomScale="125" workbookViewId="0">
      <selection activeCell="G2" sqref="G1:G1048576"/>
    </sheetView>
  </sheetViews>
  <sheetFormatPr defaultRowHeight="15" x14ac:dyDescent="0.25"/>
  <cols>
    <col min="1" max="1" width="11.85546875" style="2" customWidth="1"/>
    <col min="2" max="2" width="9.5703125" style="2" bestFit="1" customWidth="1"/>
    <col min="3" max="3" width="9.85546875" style="2" customWidth="1"/>
    <col min="4" max="4" width="23.140625" style="2" bestFit="1" customWidth="1"/>
    <col min="5" max="5" width="17" style="3" customWidth="1"/>
    <col min="6" max="6" width="16.28515625" style="3" customWidth="1"/>
    <col min="7" max="7" width="16.7109375" style="2" customWidth="1"/>
    <col min="8" max="8" width="14.28515625" style="2" bestFit="1" customWidth="1"/>
    <col min="9" max="9" width="15" style="2" bestFit="1" customWidth="1"/>
    <col min="10" max="10" width="16.140625" bestFit="1" customWidth="1"/>
  </cols>
  <sheetData>
    <row r="1" spans="1:10" x14ac:dyDescent="0.25">
      <c r="A1" s="2" t="s">
        <v>0</v>
      </c>
      <c r="B1" s="2" t="s">
        <v>2</v>
      </c>
      <c r="C1" s="2" t="s">
        <v>3</v>
      </c>
      <c r="D1" s="2" t="s">
        <v>4</v>
      </c>
      <c r="E1" s="3" t="s">
        <v>5</v>
      </c>
      <c r="F1" s="3" t="s">
        <v>6</v>
      </c>
      <c r="G1" s="2" t="s">
        <v>7</v>
      </c>
      <c r="H1" s="2" t="s">
        <v>8</v>
      </c>
      <c r="I1" s="2" t="s">
        <v>1</v>
      </c>
      <c r="J1" t="s">
        <v>149</v>
      </c>
    </row>
    <row r="2" spans="1:10" hidden="1" x14ac:dyDescent="0.25">
      <c r="A2" s="2" t="s">
        <v>9</v>
      </c>
      <c r="B2" s="2">
        <v>56</v>
      </c>
      <c r="C2" s="2" t="s">
        <v>11</v>
      </c>
      <c r="D2" s="2" t="s">
        <v>12</v>
      </c>
      <c r="E2" s="3">
        <v>45669</v>
      </c>
      <c r="F2" s="3">
        <v>45672</v>
      </c>
      <c r="G2" s="2">
        <v>15000</v>
      </c>
      <c r="H2" s="2" t="s">
        <v>13</v>
      </c>
      <c r="I2" s="2" t="s">
        <v>10</v>
      </c>
      <c r="J2">
        <f>Table2[[#This Row],[Discharge Date]] - Table2[[#This Row],[Admission Date]]</f>
        <v>3</v>
      </c>
    </row>
    <row r="3" spans="1:10" x14ac:dyDescent="0.25">
      <c r="A3" s="2" t="s">
        <v>14</v>
      </c>
      <c r="B3" s="2">
        <v>45</v>
      </c>
      <c r="C3" s="2" t="s">
        <v>16</v>
      </c>
      <c r="D3" s="2" t="s">
        <v>17</v>
      </c>
      <c r="E3" s="3">
        <v>45669</v>
      </c>
      <c r="F3" s="3" t="s">
        <v>18</v>
      </c>
      <c r="G3" s="2">
        <v>8000</v>
      </c>
      <c r="H3" s="2" t="s">
        <v>19</v>
      </c>
      <c r="I3" s="2" t="s">
        <v>15</v>
      </c>
      <c r="J3">
        <v>3</v>
      </c>
    </row>
    <row r="4" spans="1:10" hidden="1" x14ac:dyDescent="0.25">
      <c r="A4" s="2" t="s">
        <v>20</v>
      </c>
      <c r="B4" s="2">
        <v>67</v>
      </c>
      <c r="C4" s="2" t="s">
        <v>11</v>
      </c>
      <c r="D4" s="2" t="s">
        <v>22</v>
      </c>
      <c r="E4" s="3">
        <v>45662</v>
      </c>
      <c r="F4" s="3">
        <v>45667</v>
      </c>
      <c r="G4" s="2">
        <v>20000</v>
      </c>
      <c r="H4" s="2" t="s">
        <v>13</v>
      </c>
      <c r="I4" s="2" t="s">
        <v>21</v>
      </c>
      <c r="J4">
        <f>Table2[[#This Row],[Discharge Date]] - Table2[[#This Row],[Admission Date]]</f>
        <v>5</v>
      </c>
    </row>
    <row r="5" spans="1:10" hidden="1" x14ac:dyDescent="0.25">
      <c r="A5" s="2" t="s">
        <v>24</v>
      </c>
      <c r="B5" s="2">
        <v>34</v>
      </c>
      <c r="C5" s="2" t="s">
        <v>11</v>
      </c>
      <c r="D5" s="2" t="s">
        <v>26</v>
      </c>
      <c r="E5" s="3">
        <v>45665</v>
      </c>
      <c r="F5" s="3">
        <v>45666</v>
      </c>
      <c r="G5" s="2">
        <v>5000</v>
      </c>
      <c r="H5" s="2" t="s">
        <v>19</v>
      </c>
      <c r="I5" s="2" t="s">
        <v>147</v>
      </c>
      <c r="J5">
        <f>Table2[[#This Row],[Discharge Date]] - Table2[[#This Row],[Admission Date]]</f>
        <v>1</v>
      </c>
    </row>
    <row r="6" spans="1:10" x14ac:dyDescent="0.25">
      <c r="A6" s="2" t="s">
        <v>27</v>
      </c>
      <c r="B6" s="2">
        <v>29</v>
      </c>
      <c r="C6" s="2" t="s">
        <v>16</v>
      </c>
      <c r="D6" s="2" t="s">
        <v>28</v>
      </c>
      <c r="E6" s="3">
        <v>45668</v>
      </c>
      <c r="F6" s="3">
        <v>45671</v>
      </c>
      <c r="G6" s="2">
        <v>12000</v>
      </c>
      <c r="H6" s="2" t="s">
        <v>13</v>
      </c>
      <c r="I6" s="2" t="s">
        <v>15</v>
      </c>
      <c r="J6">
        <f>Table2[[#This Row],[Discharge Date]] - Table2[[#This Row],[Admission Date]]</f>
        <v>3</v>
      </c>
    </row>
    <row r="7" spans="1:10" hidden="1" x14ac:dyDescent="0.25">
      <c r="A7" s="2" t="s">
        <v>29</v>
      </c>
      <c r="B7" s="2">
        <v>52</v>
      </c>
      <c r="C7" s="2" t="s">
        <v>11</v>
      </c>
      <c r="D7" s="2" t="s">
        <v>30</v>
      </c>
      <c r="E7" s="3">
        <v>45659</v>
      </c>
      <c r="F7" s="3">
        <v>45662</v>
      </c>
      <c r="G7" s="2">
        <v>16000</v>
      </c>
      <c r="H7" s="2" t="s">
        <v>31</v>
      </c>
      <c r="I7" s="2" t="s">
        <v>21</v>
      </c>
      <c r="J7">
        <f>Table2[[#This Row],[Discharge Date]] - Table2[[#This Row],[Admission Date]]</f>
        <v>3</v>
      </c>
    </row>
    <row r="8" spans="1:10" x14ac:dyDescent="0.25">
      <c r="A8" s="2" t="s">
        <v>32</v>
      </c>
      <c r="B8" s="2">
        <v>41</v>
      </c>
      <c r="C8" s="2" t="s">
        <v>16</v>
      </c>
      <c r="D8" s="2" t="s">
        <v>33</v>
      </c>
      <c r="E8" s="3">
        <v>45675</v>
      </c>
      <c r="F8" s="3">
        <v>45676</v>
      </c>
      <c r="G8" s="2">
        <v>4500</v>
      </c>
      <c r="H8" s="2" t="s">
        <v>13</v>
      </c>
      <c r="I8" s="2" t="s">
        <v>147</v>
      </c>
      <c r="J8">
        <f>Table2[[#This Row],[Discharge Date]] - Table2[[#This Row],[Admission Date]]</f>
        <v>1</v>
      </c>
    </row>
    <row r="9" spans="1:10" hidden="1" x14ac:dyDescent="0.25">
      <c r="A9" s="2" t="s">
        <v>34</v>
      </c>
      <c r="B9" s="2">
        <v>73</v>
      </c>
      <c r="C9" s="2" t="s">
        <v>11</v>
      </c>
      <c r="D9" s="2" t="s">
        <v>35</v>
      </c>
      <c r="E9" s="3">
        <v>45667</v>
      </c>
      <c r="F9" s="3">
        <v>45677</v>
      </c>
      <c r="G9" s="2">
        <v>40000</v>
      </c>
      <c r="H9" s="2" t="s">
        <v>31</v>
      </c>
      <c r="I9" s="2" t="s">
        <v>10</v>
      </c>
      <c r="J9">
        <f>Table2[[#This Row],[Discharge Date]] - Table2[[#This Row],[Admission Date]]</f>
        <v>10</v>
      </c>
    </row>
    <row r="10" spans="1:10" x14ac:dyDescent="0.25">
      <c r="A10" s="2" t="s">
        <v>36</v>
      </c>
      <c r="B10" s="2">
        <v>39</v>
      </c>
      <c r="C10" s="2" t="s">
        <v>16</v>
      </c>
      <c r="D10" s="2" t="s">
        <v>37</v>
      </c>
      <c r="E10" s="3">
        <v>45672</v>
      </c>
      <c r="F10" s="3">
        <v>45679</v>
      </c>
      <c r="G10" s="2">
        <v>25000</v>
      </c>
      <c r="H10" s="2" t="s">
        <v>19</v>
      </c>
      <c r="I10" s="2" t="s">
        <v>15</v>
      </c>
      <c r="J10">
        <f>Table2[[#This Row],[Discharge Date]] - Table2[[#This Row],[Admission Date]]</f>
        <v>7</v>
      </c>
    </row>
    <row r="11" spans="1:10" hidden="1" x14ac:dyDescent="0.25">
      <c r="A11" s="2" t="s">
        <v>38</v>
      </c>
      <c r="B11" s="2">
        <v>61</v>
      </c>
      <c r="C11" s="2" t="s">
        <v>11</v>
      </c>
      <c r="D11" s="2" t="s">
        <v>39</v>
      </c>
      <c r="E11" s="3">
        <v>45666</v>
      </c>
      <c r="F11" s="3">
        <v>45669</v>
      </c>
      <c r="G11" s="2">
        <v>14000</v>
      </c>
      <c r="H11" s="2" t="s">
        <v>19</v>
      </c>
      <c r="I11" s="2" t="s">
        <v>21</v>
      </c>
      <c r="J11">
        <f>Table2[[#This Row],[Discharge Date]] - Table2[[#This Row],[Admission Date]]</f>
        <v>3</v>
      </c>
    </row>
    <row r="12" spans="1:10" x14ac:dyDescent="0.25">
      <c r="A12" s="2" t="s">
        <v>40</v>
      </c>
      <c r="B12" s="2">
        <v>28</v>
      </c>
      <c r="C12" s="2" t="s">
        <v>16</v>
      </c>
      <c r="D12" s="2" t="s">
        <v>41</v>
      </c>
      <c r="E12" s="3">
        <v>45670</v>
      </c>
      <c r="F12" s="3">
        <v>45671</v>
      </c>
      <c r="G12" s="2">
        <v>3000</v>
      </c>
      <c r="H12" s="2" t="s">
        <v>13</v>
      </c>
      <c r="I12" s="2" t="s">
        <v>147</v>
      </c>
      <c r="J12">
        <f>Table2[[#This Row],[Discharge Date]] - Table2[[#This Row],[Admission Date]]</f>
        <v>1</v>
      </c>
    </row>
    <row r="13" spans="1:10" hidden="1" x14ac:dyDescent="0.25">
      <c r="A13" s="2" t="s">
        <v>42</v>
      </c>
      <c r="B13" s="2">
        <v>66</v>
      </c>
      <c r="C13" s="2" t="s">
        <v>11</v>
      </c>
      <c r="D13" s="2" t="s">
        <v>12</v>
      </c>
      <c r="E13" s="3">
        <v>45661</v>
      </c>
      <c r="F13" s="3">
        <v>45665</v>
      </c>
      <c r="G13" s="2">
        <v>15000</v>
      </c>
      <c r="H13" s="2" t="s">
        <v>13</v>
      </c>
      <c r="I13" s="2" t="s">
        <v>10</v>
      </c>
      <c r="J13">
        <f>Table2[[#This Row],[Discharge Date]] - Table2[[#This Row],[Admission Date]]</f>
        <v>4</v>
      </c>
    </row>
    <row r="14" spans="1:10" x14ac:dyDescent="0.25">
      <c r="A14" s="2" t="s">
        <v>43</v>
      </c>
      <c r="B14" s="2">
        <v>44</v>
      </c>
      <c r="C14" s="2" t="s">
        <v>16</v>
      </c>
      <c r="D14" s="2" t="s">
        <v>45</v>
      </c>
      <c r="E14" s="3">
        <v>45664</v>
      </c>
      <c r="F14" s="3">
        <v>45667</v>
      </c>
      <c r="G14" s="2">
        <v>11000</v>
      </c>
      <c r="H14" s="2" t="s">
        <v>13</v>
      </c>
      <c r="I14" s="2" t="s">
        <v>15</v>
      </c>
      <c r="J14">
        <f>Table2[[#This Row],[Discharge Date]] - Table2[[#This Row],[Admission Date]]</f>
        <v>3</v>
      </c>
    </row>
    <row r="15" spans="1:10" hidden="1" x14ac:dyDescent="0.25">
      <c r="A15" s="2" t="s">
        <v>46</v>
      </c>
      <c r="B15" s="2">
        <v>50</v>
      </c>
      <c r="C15" s="2" t="s">
        <v>11</v>
      </c>
      <c r="D15" s="2" t="s">
        <v>47</v>
      </c>
      <c r="E15" s="3">
        <v>45678</v>
      </c>
      <c r="F15" s="3">
        <v>45682</v>
      </c>
      <c r="G15" s="2">
        <v>13000</v>
      </c>
      <c r="H15" s="2" t="s">
        <v>19</v>
      </c>
      <c r="I15" s="2" t="s">
        <v>21</v>
      </c>
      <c r="J15">
        <f>Table2[[#This Row],[Discharge Date]] - Table2[[#This Row],[Admission Date]]</f>
        <v>4</v>
      </c>
    </row>
    <row r="16" spans="1:10" x14ac:dyDescent="0.25">
      <c r="A16" s="2" t="s">
        <v>48</v>
      </c>
      <c r="B16" s="2">
        <v>37</v>
      </c>
      <c r="C16" s="2" t="s">
        <v>16</v>
      </c>
      <c r="D16" s="2" t="s">
        <v>49</v>
      </c>
      <c r="E16" s="3">
        <v>45673</v>
      </c>
      <c r="F16" s="3">
        <v>45674</v>
      </c>
      <c r="G16" s="2">
        <v>3500</v>
      </c>
      <c r="H16" s="2" t="s">
        <v>13</v>
      </c>
      <c r="I16" s="2" t="s">
        <v>147</v>
      </c>
      <c r="J16">
        <f>Table2[[#This Row],[Discharge Date]] - Table2[[#This Row],[Admission Date]]</f>
        <v>1</v>
      </c>
    </row>
    <row r="17" spans="1:10" hidden="1" x14ac:dyDescent="0.25">
      <c r="A17" s="2" t="s">
        <v>50</v>
      </c>
      <c r="C17" s="2" t="s">
        <v>11</v>
      </c>
      <c r="D17" s="2" t="s">
        <v>51</v>
      </c>
      <c r="E17" s="3">
        <v>45675</v>
      </c>
      <c r="F17" s="3">
        <v>45675</v>
      </c>
      <c r="G17" s="2">
        <v>2000</v>
      </c>
      <c r="H17" s="2" t="s">
        <v>13</v>
      </c>
      <c r="I17" s="2" t="s">
        <v>10</v>
      </c>
      <c r="J17">
        <f>Table2[[#This Row],[Discharge Date]] - Table2[[#This Row],[Admission Date]]</f>
        <v>0</v>
      </c>
    </row>
    <row r="18" spans="1:10" x14ac:dyDescent="0.25">
      <c r="A18" s="2" t="s">
        <v>52</v>
      </c>
      <c r="B18" s="2">
        <v>72</v>
      </c>
      <c r="C18" s="2" t="s">
        <v>16</v>
      </c>
      <c r="D18" s="2" t="s">
        <v>53</v>
      </c>
      <c r="E18" s="3">
        <v>45669</v>
      </c>
      <c r="F18" s="3">
        <v>45673</v>
      </c>
      <c r="G18" s="2">
        <v>30000</v>
      </c>
      <c r="H18" s="2" t="s">
        <v>19</v>
      </c>
      <c r="I18" s="2" t="s">
        <v>15</v>
      </c>
      <c r="J18">
        <f>Table2[[#This Row],[Discharge Date]] - Table2[[#This Row],[Admission Date]]</f>
        <v>4</v>
      </c>
    </row>
    <row r="19" spans="1:10" hidden="1" x14ac:dyDescent="0.25">
      <c r="A19" s="2" t="s">
        <v>54</v>
      </c>
      <c r="B19" s="2">
        <v>64</v>
      </c>
      <c r="C19" s="2" t="s">
        <v>11</v>
      </c>
      <c r="D19" s="2" t="s">
        <v>55</v>
      </c>
      <c r="E19" s="3">
        <v>45663</v>
      </c>
      <c r="F19" s="3">
        <v>45668</v>
      </c>
      <c r="G19" s="2">
        <v>21000</v>
      </c>
      <c r="H19" s="2" t="s">
        <v>13</v>
      </c>
      <c r="I19" s="2" t="s">
        <v>21</v>
      </c>
      <c r="J19">
        <f>Table2[[#This Row],[Discharge Date]] - Table2[[#This Row],[Admission Date]]</f>
        <v>5</v>
      </c>
    </row>
    <row r="20" spans="1:10" x14ac:dyDescent="0.25">
      <c r="A20" s="2" t="s">
        <v>56</v>
      </c>
      <c r="B20" s="2">
        <v>25</v>
      </c>
      <c r="C20" s="2" t="s">
        <v>16</v>
      </c>
      <c r="D20" s="2" t="s">
        <v>57</v>
      </c>
      <c r="E20" s="3">
        <v>45671</v>
      </c>
      <c r="F20" s="3">
        <v>45672</v>
      </c>
      <c r="G20" s="2">
        <v>4500</v>
      </c>
      <c r="H20" s="2" t="s">
        <v>19</v>
      </c>
      <c r="I20" s="2" t="s">
        <v>147</v>
      </c>
      <c r="J20">
        <f>Table2[[#This Row],[Discharge Date]] - Table2[[#This Row],[Admission Date]]</f>
        <v>1</v>
      </c>
    </row>
    <row r="21" spans="1:10" hidden="1" x14ac:dyDescent="0.25">
      <c r="A21" s="2" t="s">
        <v>58</v>
      </c>
      <c r="B21" s="2">
        <v>59</v>
      </c>
      <c r="C21" s="2" t="s">
        <v>11</v>
      </c>
      <c r="D21" s="2" t="s">
        <v>23</v>
      </c>
      <c r="E21" s="3">
        <v>45659</v>
      </c>
      <c r="F21" s="3">
        <v>45660</v>
      </c>
      <c r="G21" s="2">
        <v>9000</v>
      </c>
      <c r="H21" s="2" t="s">
        <v>13</v>
      </c>
      <c r="I21" s="2" t="s">
        <v>10</v>
      </c>
      <c r="J21">
        <f>Table2[[#This Row],[Discharge Date]] - Table2[[#This Row],[Admission Date]]</f>
        <v>1</v>
      </c>
    </row>
    <row r="22" spans="1:10" x14ac:dyDescent="0.25">
      <c r="A22" s="2" t="s">
        <v>59</v>
      </c>
      <c r="B22" s="2">
        <v>47</v>
      </c>
      <c r="C22" s="2" t="s">
        <v>16</v>
      </c>
      <c r="D22" s="2" t="s">
        <v>60</v>
      </c>
      <c r="E22" s="3">
        <v>45666</v>
      </c>
      <c r="F22" s="3">
        <v>45667</v>
      </c>
      <c r="G22" s="2">
        <v>6000</v>
      </c>
      <c r="H22" s="2" t="s">
        <v>19</v>
      </c>
      <c r="I22" s="2" t="s">
        <v>15</v>
      </c>
      <c r="J22">
        <f>Table2[[#This Row],[Discharge Date]] - Table2[[#This Row],[Admission Date]]</f>
        <v>1</v>
      </c>
    </row>
    <row r="23" spans="1:10" hidden="1" x14ac:dyDescent="0.25">
      <c r="A23" s="2" t="s">
        <v>61</v>
      </c>
      <c r="B23" s="2">
        <v>53</v>
      </c>
      <c r="C23" s="2" t="s">
        <v>11</v>
      </c>
      <c r="D23" s="2" t="s">
        <v>62</v>
      </c>
      <c r="E23" s="3">
        <v>45667</v>
      </c>
      <c r="F23" s="3">
        <v>45670</v>
      </c>
      <c r="G23" s="2">
        <v>17000</v>
      </c>
      <c r="H23" s="2" t="s">
        <v>13</v>
      </c>
      <c r="I23" s="2" t="s">
        <v>21</v>
      </c>
      <c r="J23">
        <f>Table2[[#This Row],[Discharge Date]] - Table2[[#This Row],[Admission Date]]</f>
        <v>3</v>
      </c>
    </row>
    <row r="24" spans="1:10" x14ac:dyDescent="0.25">
      <c r="A24" s="2" t="s">
        <v>63</v>
      </c>
      <c r="B24" s="2">
        <v>30</v>
      </c>
      <c r="C24" s="2" t="s">
        <v>16</v>
      </c>
      <c r="D24" s="2" t="s">
        <v>64</v>
      </c>
      <c r="E24" s="3">
        <v>45668</v>
      </c>
      <c r="F24" s="3">
        <v>45668</v>
      </c>
      <c r="G24" s="2">
        <v>2500</v>
      </c>
      <c r="H24" s="2" t="s">
        <v>13</v>
      </c>
      <c r="I24" s="2" t="s">
        <v>147</v>
      </c>
      <c r="J24">
        <f>Table2[[#This Row],[Discharge Date]] - Table2[[#This Row],[Admission Date]]</f>
        <v>0</v>
      </c>
    </row>
    <row r="25" spans="1:10" hidden="1" x14ac:dyDescent="0.25">
      <c r="A25" s="2" t="s">
        <v>65</v>
      </c>
      <c r="B25" s="2">
        <v>68</v>
      </c>
      <c r="C25" s="2" t="s">
        <v>11</v>
      </c>
      <c r="D25" s="2" t="s">
        <v>66</v>
      </c>
      <c r="E25" s="3">
        <v>45674</v>
      </c>
      <c r="F25" s="3">
        <v>45684</v>
      </c>
      <c r="G25" s="2">
        <v>50000</v>
      </c>
      <c r="H25" s="2" t="s">
        <v>31</v>
      </c>
      <c r="I25" s="2" t="s">
        <v>10</v>
      </c>
      <c r="J25">
        <f>Table2[[#This Row],[Discharge Date]] - Table2[[#This Row],[Admission Date]]</f>
        <v>10</v>
      </c>
    </row>
    <row r="26" spans="1:10" x14ac:dyDescent="0.25">
      <c r="A26" s="2" t="s">
        <v>67</v>
      </c>
      <c r="B26" s="2">
        <v>34</v>
      </c>
      <c r="C26" s="2" t="s">
        <v>16</v>
      </c>
      <c r="D26" s="2" t="s">
        <v>45</v>
      </c>
      <c r="E26" s="3">
        <v>45673</v>
      </c>
      <c r="F26" s="3">
        <v>45676</v>
      </c>
      <c r="G26" s="2">
        <v>12000</v>
      </c>
      <c r="H26" s="2" t="s">
        <v>19</v>
      </c>
      <c r="I26" s="2" t="s">
        <v>15</v>
      </c>
      <c r="J26">
        <f>Table2[[#This Row],[Discharge Date]] - Table2[[#This Row],[Admission Date]]</f>
        <v>3</v>
      </c>
    </row>
    <row r="27" spans="1:10" hidden="1" x14ac:dyDescent="0.25">
      <c r="A27" s="2" t="s">
        <v>68</v>
      </c>
      <c r="B27" s="2">
        <v>49</v>
      </c>
      <c r="C27" s="2" t="s">
        <v>11</v>
      </c>
      <c r="D27" s="2" t="s">
        <v>69</v>
      </c>
      <c r="E27" s="3">
        <v>45660</v>
      </c>
      <c r="F27" s="3">
        <v>45664</v>
      </c>
      <c r="G27" s="2">
        <v>18000</v>
      </c>
      <c r="H27" s="2" t="s">
        <v>13</v>
      </c>
      <c r="I27" s="2" t="s">
        <v>21</v>
      </c>
      <c r="J27">
        <f>Table2[[#This Row],[Discharge Date]] - Table2[[#This Row],[Admission Date]]</f>
        <v>4</v>
      </c>
    </row>
    <row r="28" spans="1:10" x14ac:dyDescent="0.25">
      <c r="A28" s="2" t="s">
        <v>70</v>
      </c>
      <c r="B28" s="2">
        <v>22</v>
      </c>
      <c r="C28" s="2" t="s">
        <v>16</v>
      </c>
      <c r="D28" s="2" t="s">
        <v>71</v>
      </c>
      <c r="E28" s="3">
        <v>45662</v>
      </c>
      <c r="F28" s="3">
        <v>45662</v>
      </c>
      <c r="G28" s="2">
        <v>1500</v>
      </c>
      <c r="H28" s="2" t="s">
        <v>13</v>
      </c>
      <c r="I28" s="2" t="s">
        <v>147</v>
      </c>
      <c r="J28">
        <f>Table2[[#This Row],[Discharge Date]] - Table2[[#This Row],[Admission Date]]</f>
        <v>0</v>
      </c>
    </row>
    <row r="29" spans="1:10" hidden="1" x14ac:dyDescent="0.25">
      <c r="A29" s="2" t="s">
        <v>72</v>
      </c>
      <c r="B29" s="2">
        <v>75</v>
      </c>
      <c r="C29" s="2" t="s">
        <v>11</v>
      </c>
      <c r="D29" s="2" t="s">
        <v>73</v>
      </c>
      <c r="E29" s="3">
        <v>45670</v>
      </c>
      <c r="F29" s="3">
        <v>45675</v>
      </c>
      <c r="G29" s="2">
        <v>25000</v>
      </c>
      <c r="H29" s="2" t="s">
        <v>19</v>
      </c>
      <c r="I29" s="2" t="s">
        <v>10</v>
      </c>
      <c r="J29">
        <f>Table2[[#This Row],[Discharge Date]] - Table2[[#This Row],[Admission Date]]</f>
        <v>5</v>
      </c>
    </row>
    <row r="30" spans="1:10" x14ac:dyDescent="0.25">
      <c r="A30" s="2" t="s">
        <v>74</v>
      </c>
      <c r="B30" s="2">
        <v>57</v>
      </c>
      <c r="C30" s="2" t="s">
        <v>16</v>
      </c>
      <c r="D30" s="2" t="s">
        <v>75</v>
      </c>
      <c r="E30" s="3">
        <v>45659</v>
      </c>
      <c r="F30" s="3">
        <v>45666</v>
      </c>
      <c r="G30" s="2">
        <v>28000</v>
      </c>
      <c r="H30" s="2" t="s">
        <v>31</v>
      </c>
      <c r="I30" s="2" t="s">
        <v>15</v>
      </c>
      <c r="J30">
        <f>Table2[[#This Row],[Discharge Date]] - Table2[[#This Row],[Admission Date]]</f>
        <v>7</v>
      </c>
    </row>
    <row r="31" spans="1:10" hidden="1" x14ac:dyDescent="0.25">
      <c r="A31" s="2" t="s">
        <v>76</v>
      </c>
      <c r="B31" s="2">
        <v>61</v>
      </c>
      <c r="C31" s="2" t="s">
        <v>11</v>
      </c>
      <c r="D31" s="2" t="s">
        <v>39</v>
      </c>
      <c r="E31" s="3">
        <v>45666</v>
      </c>
      <c r="F31" s="3">
        <v>45669</v>
      </c>
      <c r="G31" s="2">
        <v>14000</v>
      </c>
      <c r="H31" s="2" t="s">
        <v>19</v>
      </c>
      <c r="I31" s="2" t="s">
        <v>21</v>
      </c>
      <c r="J31">
        <f>Table2[[#This Row],[Discharge Date]] - Table2[[#This Row],[Admission Date]]</f>
        <v>3</v>
      </c>
    </row>
    <row r="32" spans="1:10" x14ac:dyDescent="0.25">
      <c r="A32" s="2" t="s">
        <v>77</v>
      </c>
      <c r="B32" s="2">
        <v>28</v>
      </c>
      <c r="C32" s="2" t="s">
        <v>16</v>
      </c>
      <c r="D32" s="2" t="s">
        <v>41</v>
      </c>
      <c r="E32" s="3">
        <v>45670</v>
      </c>
      <c r="F32" s="3">
        <v>45671</v>
      </c>
      <c r="G32" s="2">
        <v>3000</v>
      </c>
      <c r="H32" s="2" t="s">
        <v>13</v>
      </c>
      <c r="I32" s="2" t="s">
        <v>147</v>
      </c>
      <c r="J32">
        <f>Table2[[#This Row],[Discharge Date]] - Table2[[#This Row],[Admission Date]]</f>
        <v>1</v>
      </c>
    </row>
    <row r="33" spans="1:10" hidden="1" x14ac:dyDescent="0.25">
      <c r="A33" s="2" t="s">
        <v>78</v>
      </c>
      <c r="B33" s="2">
        <v>56</v>
      </c>
      <c r="C33" s="2" t="s">
        <v>11</v>
      </c>
      <c r="D33" s="2" t="s">
        <v>12</v>
      </c>
      <c r="E33" s="3">
        <v>45669</v>
      </c>
      <c r="F33" s="3">
        <v>45672</v>
      </c>
      <c r="G33" s="2">
        <v>15000</v>
      </c>
      <c r="H33" s="2" t="s">
        <v>13</v>
      </c>
      <c r="I33" s="2" t="s">
        <v>10</v>
      </c>
      <c r="J33">
        <f>Table2[[#This Row],[Discharge Date]] - Table2[[#This Row],[Admission Date]]</f>
        <v>3</v>
      </c>
    </row>
    <row r="34" spans="1:10" x14ac:dyDescent="0.25">
      <c r="A34" s="2" t="s">
        <v>79</v>
      </c>
      <c r="C34" s="2" t="s">
        <v>16</v>
      </c>
      <c r="D34" s="2" t="s">
        <v>17</v>
      </c>
      <c r="E34" s="3">
        <v>45665</v>
      </c>
      <c r="F34" s="3">
        <v>45669</v>
      </c>
      <c r="G34" s="2">
        <v>8000</v>
      </c>
      <c r="H34" s="2" t="s">
        <v>19</v>
      </c>
      <c r="I34" s="2" t="s">
        <v>15</v>
      </c>
      <c r="J34">
        <f>Table2[[#This Row],[Discharge Date]] - Table2[[#This Row],[Admission Date]]</f>
        <v>4</v>
      </c>
    </row>
    <row r="35" spans="1:10" hidden="1" x14ac:dyDescent="0.25">
      <c r="A35" s="2" t="s">
        <v>80</v>
      </c>
      <c r="B35" s="2">
        <v>67</v>
      </c>
      <c r="C35" s="2" t="s">
        <v>11</v>
      </c>
      <c r="D35" s="2" t="s">
        <v>22</v>
      </c>
      <c r="E35" s="3">
        <v>45662</v>
      </c>
      <c r="F35" s="3">
        <v>45667</v>
      </c>
      <c r="G35" s="2">
        <v>20000</v>
      </c>
      <c r="H35" s="2" t="s">
        <v>13</v>
      </c>
      <c r="I35" s="2" t="s">
        <v>21</v>
      </c>
      <c r="J35">
        <f>Table2[[#This Row],[Discharge Date]] - Table2[[#This Row],[Admission Date]]</f>
        <v>5</v>
      </c>
    </row>
    <row r="36" spans="1:10" hidden="1" x14ac:dyDescent="0.25">
      <c r="A36" s="2" t="s">
        <v>81</v>
      </c>
      <c r="B36" s="2">
        <v>34</v>
      </c>
      <c r="C36" s="2" t="s">
        <v>11</v>
      </c>
      <c r="D36" s="2" t="s">
        <v>26</v>
      </c>
      <c r="E36" s="3">
        <v>45665</v>
      </c>
      <c r="F36" s="3">
        <v>45666</v>
      </c>
      <c r="H36" s="2" t="s">
        <v>19</v>
      </c>
      <c r="I36" s="2" t="s">
        <v>147</v>
      </c>
      <c r="J36">
        <f>Table2[[#This Row],[Discharge Date]] - Table2[[#This Row],[Admission Date]]</f>
        <v>1</v>
      </c>
    </row>
    <row r="37" spans="1:10" hidden="1" x14ac:dyDescent="0.25">
      <c r="A37" s="2" t="s">
        <v>82</v>
      </c>
      <c r="B37" s="2">
        <v>73</v>
      </c>
      <c r="C37" s="2" t="s">
        <v>11</v>
      </c>
      <c r="D37" s="2" t="s">
        <v>35</v>
      </c>
      <c r="E37" s="3">
        <v>45667</v>
      </c>
      <c r="F37" s="3" t="s">
        <v>148</v>
      </c>
      <c r="G37" s="2">
        <v>40000</v>
      </c>
      <c r="H37" s="2" t="s">
        <v>31</v>
      </c>
      <c r="I37" s="2" t="s">
        <v>10</v>
      </c>
      <c r="J37">
        <v>10</v>
      </c>
    </row>
    <row r="38" spans="1:10" x14ac:dyDescent="0.25">
      <c r="A38" s="2" t="s">
        <v>84</v>
      </c>
      <c r="B38" s="2">
        <v>39</v>
      </c>
      <c r="C38" s="2" t="s">
        <v>16</v>
      </c>
      <c r="D38" s="2" t="s">
        <v>37</v>
      </c>
      <c r="E38" s="3">
        <v>45672</v>
      </c>
      <c r="F38" s="3">
        <v>45679</v>
      </c>
      <c r="G38" s="2">
        <v>25000</v>
      </c>
      <c r="H38" s="2" t="s">
        <v>19</v>
      </c>
      <c r="I38" s="2" t="s">
        <v>15</v>
      </c>
      <c r="J38">
        <f>Table2[[#This Row],[Discharge Date]] - Table2[[#This Row],[Admission Date]]</f>
        <v>7</v>
      </c>
    </row>
    <row r="39" spans="1:10" hidden="1" x14ac:dyDescent="0.25">
      <c r="A39" s="2" t="s">
        <v>85</v>
      </c>
      <c r="B39" s="2">
        <v>61</v>
      </c>
      <c r="C39" s="2" t="s">
        <v>11</v>
      </c>
      <c r="D39" s="2" t="s">
        <v>39</v>
      </c>
      <c r="E39" s="3">
        <v>45666</v>
      </c>
      <c r="F39" s="3">
        <v>45669</v>
      </c>
      <c r="G39" s="2">
        <v>14000</v>
      </c>
      <c r="H39" s="2" t="s">
        <v>19</v>
      </c>
      <c r="I39" s="2" t="s">
        <v>21</v>
      </c>
      <c r="J39">
        <f>Table2[[#This Row],[Discharge Date]] - Table2[[#This Row],[Admission Date]]</f>
        <v>3</v>
      </c>
    </row>
    <row r="40" spans="1:10" x14ac:dyDescent="0.25">
      <c r="A40" s="2" t="s">
        <v>86</v>
      </c>
      <c r="B40" s="2">
        <v>28</v>
      </c>
      <c r="C40" s="2" t="s">
        <v>16</v>
      </c>
      <c r="D40" s="2" t="s">
        <v>41</v>
      </c>
      <c r="E40" s="3">
        <v>45670</v>
      </c>
      <c r="F40" s="3">
        <v>45671</v>
      </c>
      <c r="G40" s="2">
        <v>3000</v>
      </c>
      <c r="H40" s="2" t="s">
        <v>13</v>
      </c>
      <c r="I40" s="2" t="s">
        <v>147</v>
      </c>
      <c r="J40">
        <f>Table2[[#This Row],[Discharge Date]] - Table2[[#This Row],[Admission Date]]</f>
        <v>1</v>
      </c>
    </row>
    <row r="41" spans="1:10" hidden="1" x14ac:dyDescent="0.25">
      <c r="A41" s="2" t="s">
        <v>87</v>
      </c>
      <c r="B41" s="2">
        <v>56</v>
      </c>
      <c r="C41" s="2" t="s">
        <v>11</v>
      </c>
      <c r="D41" s="2" t="s">
        <v>12</v>
      </c>
      <c r="E41" s="3">
        <v>45669</v>
      </c>
      <c r="F41" s="3">
        <v>45672</v>
      </c>
      <c r="G41" s="2">
        <v>15000</v>
      </c>
      <c r="H41" s="2" t="s">
        <v>13</v>
      </c>
      <c r="I41" s="2" t="s">
        <v>10</v>
      </c>
      <c r="J41">
        <f>Table2[[#This Row],[Discharge Date]] - Table2[[#This Row],[Admission Date]]</f>
        <v>3</v>
      </c>
    </row>
    <row r="42" spans="1:10" x14ac:dyDescent="0.25">
      <c r="A42" s="2" t="s">
        <v>88</v>
      </c>
      <c r="B42" s="2">
        <v>45</v>
      </c>
      <c r="C42" s="2" t="s">
        <v>16</v>
      </c>
      <c r="D42" s="2" t="s">
        <v>17</v>
      </c>
      <c r="E42" s="3">
        <v>45669</v>
      </c>
      <c r="F42" s="3">
        <v>45670</v>
      </c>
      <c r="G42" s="2">
        <v>8000</v>
      </c>
      <c r="H42" s="2" t="s">
        <v>19</v>
      </c>
      <c r="I42" s="2" t="s">
        <v>15</v>
      </c>
      <c r="J42">
        <f>Table2[[#This Row],[Discharge Date]] - Table2[[#This Row],[Admission Date]]</f>
        <v>1</v>
      </c>
    </row>
    <row r="43" spans="1:10" hidden="1" x14ac:dyDescent="0.25">
      <c r="A43" s="2" t="s">
        <v>89</v>
      </c>
      <c r="B43" s="2">
        <v>67</v>
      </c>
      <c r="C43" s="2" t="s">
        <v>11</v>
      </c>
      <c r="D43" s="2" t="s">
        <v>22</v>
      </c>
      <c r="E43" s="3">
        <v>45662</v>
      </c>
      <c r="F43" s="3">
        <v>45667</v>
      </c>
      <c r="G43" s="2">
        <v>20000</v>
      </c>
      <c r="H43" s="2" t="s">
        <v>13</v>
      </c>
      <c r="I43" s="2" t="s">
        <v>21</v>
      </c>
      <c r="J43">
        <f>Table2[[#This Row],[Discharge Date]] - Table2[[#This Row],[Admission Date]]</f>
        <v>5</v>
      </c>
    </row>
    <row r="44" spans="1:10" hidden="1" x14ac:dyDescent="0.25">
      <c r="A44" s="2" t="s">
        <v>90</v>
      </c>
      <c r="B44" s="2">
        <v>34</v>
      </c>
      <c r="C44" s="2" t="s">
        <v>11</v>
      </c>
      <c r="D44" s="2" t="s">
        <v>26</v>
      </c>
      <c r="E44" s="3">
        <v>45665</v>
      </c>
      <c r="F44" s="3">
        <v>45666</v>
      </c>
      <c r="G44" s="2">
        <v>5000</v>
      </c>
      <c r="H44" s="2" t="s">
        <v>19</v>
      </c>
      <c r="I44" s="2" t="s">
        <v>147</v>
      </c>
      <c r="J44">
        <f>Table2[[#This Row],[Discharge Date]] - Table2[[#This Row],[Admission Date]]</f>
        <v>1</v>
      </c>
    </row>
    <row r="45" spans="1:10" hidden="1" x14ac:dyDescent="0.25">
      <c r="A45" s="2" t="s">
        <v>91</v>
      </c>
      <c r="B45" s="2">
        <v>66</v>
      </c>
      <c r="C45" s="2" t="s">
        <v>11</v>
      </c>
      <c r="D45" s="2" t="s">
        <v>12</v>
      </c>
      <c r="E45" s="3">
        <v>45661</v>
      </c>
      <c r="F45" s="3">
        <v>45665</v>
      </c>
      <c r="G45" s="2">
        <v>15000</v>
      </c>
      <c r="H45" s="2" t="s">
        <v>13</v>
      </c>
      <c r="I45" s="2" t="s">
        <v>10</v>
      </c>
      <c r="J45">
        <f>Table2[[#This Row],[Discharge Date]] - Table2[[#This Row],[Admission Date]]</f>
        <v>4</v>
      </c>
    </row>
    <row r="46" spans="1:10" x14ac:dyDescent="0.25">
      <c r="A46" s="2" t="s">
        <v>92</v>
      </c>
      <c r="B46" s="2">
        <v>44</v>
      </c>
      <c r="C46" s="2" t="s">
        <v>16</v>
      </c>
      <c r="D46" s="2" t="s">
        <v>45</v>
      </c>
      <c r="E46" s="3">
        <v>45664</v>
      </c>
      <c r="F46" s="3">
        <v>45667</v>
      </c>
      <c r="G46" s="2">
        <v>11000</v>
      </c>
      <c r="H46" s="2" t="s">
        <v>13</v>
      </c>
      <c r="I46" s="2" t="s">
        <v>15</v>
      </c>
      <c r="J46">
        <f>Table2[[#This Row],[Discharge Date]] - Table2[[#This Row],[Admission Date]]</f>
        <v>3</v>
      </c>
    </row>
    <row r="47" spans="1:10" hidden="1" x14ac:dyDescent="0.25">
      <c r="A47" s="2" t="s">
        <v>93</v>
      </c>
      <c r="B47" s="2">
        <v>50</v>
      </c>
      <c r="C47" s="2" t="s">
        <v>11</v>
      </c>
      <c r="D47" s="2" t="s">
        <v>47</v>
      </c>
      <c r="E47" s="3">
        <v>45678</v>
      </c>
      <c r="F47" s="3">
        <v>45682</v>
      </c>
      <c r="G47" s="2">
        <v>13000</v>
      </c>
      <c r="H47" s="2" t="s">
        <v>19</v>
      </c>
      <c r="I47" s="2" t="s">
        <v>21</v>
      </c>
      <c r="J47">
        <f>Table2[[#This Row],[Discharge Date]] - Table2[[#This Row],[Admission Date]]</f>
        <v>4</v>
      </c>
    </row>
    <row r="48" spans="1:10" x14ac:dyDescent="0.25">
      <c r="A48" s="2" t="s">
        <v>94</v>
      </c>
      <c r="B48" s="2">
        <v>37</v>
      </c>
      <c r="C48" s="2" t="s">
        <v>16</v>
      </c>
      <c r="D48" s="2" t="s">
        <v>49</v>
      </c>
      <c r="E48" s="3">
        <v>45673</v>
      </c>
      <c r="F48" s="3">
        <v>45674</v>
      </c>
      <c r="G48" s="2">
        <v>3500</v>
      </c>
      <c r="H48" s="2" t="s">
        <v>13</v>
      </c>
      <c r="I48" s="2" t="s">
        <v>147</v>
      </c>
      <c r="J48">
        <f>Table2[[#This Row],[Discharge Date]] - Table2[[#This Row],[Admission Date]]</f>
        <v>1</v>
      </c>
    </row>
    <row r="49" spans="1:10" hidden="1" x14ac:dyDescent="0.25">
      <c r="A49" s="2" t="s">
        <v>95</v>
      </c>
      <c r="B49" s="2">
        <v>59</v>
      </c>
      <c r="C49" s="2" t="s">
        <v>11</v>
      </c>
      <c r="D49" s="2" t="s">
        <v>23</v>
      </c>
      <c r="E49" s="3">
        <v>45659</v>
      </c>
      <c r="F49" s="3">
        <v>45660</v>
      </c>
      <c r="G49" s="2">
        <v>9000</v>
      </c>
      <c r="H49" s="2" t="s">
        <v>13</v>
      </c>
      <c r="I49" s="2" t="s">
        <v>10</v>
      </c>
      <c r="J49">
        <f>Table2[[#This Row],[Discharge Date]] - Table2[[#This Row],[Admission Date]]</f>
        <v>1</v>
      </c>
    </row>
    <row r="50" spans="1:10" x14ac:dyDescent="0.25">
      <c r="A50" s="2" t="s">
        <v>96</v>
      </c>
      <c r="B50" s="2">
        <v>47</v>
      </c>
      <c r="C50" s="2" t="s">
        <v>16</v>
      </c>
      <c r="D50" s="2" t="s">
        <v>60</v>
      </c>
      <c r="E50" s="3">
        <v>45666</v>
      </c>
      <c r="F50" s="3">
        <v>45667</v>
      </c>
      <c r="G50" s="2">
        <v>6000</v>
      </c>
      <c r="H50" s="2" t="s">
        <v>19</v>
      </c>
      <c r="I50" s="2" t="s">
        <v>15</v>
      </c>
      <c r="J50">
        <f>Table2[[#This Row],[Discharge Date]] - Table2[[#This Row],[Admission Date]]</f>
        <v>1</v>
      </c>
    </row>
    <row r="51" spans="1:10" hidden="1" x14ac:dyDescent="0.25">
      <c r="A51" s="2" t="s">
        <v>97</v>
      </c>
      <c r="B51" s="2">
        <v>53</v>
      </c>
      <c r="C51" s="2" t="s">
        <v>11</v>
      </c>
      <c r="D51" s="2" t="s">
        <v>62</v>
      </c>
      <c r="E51" s="3">
        <v>45667</v>
      </c>
      <c r="F51" s="3">
        <v>45670</v>
      </c>
      <c r="G51" s="2">
        <v>17000</v>
      </c>
      <c r="H51" s="2" t="s">
        <v>13</v>
      </c>
      <c r="I51" s="2" t="s">
        <v>21</v>
      </c>
      <c r="J51">
        <f>Table2[[#This Row],[Discharge Date]] - Table2[[#This Row],[Admission Date]]</f>
        <v>3</v>
      </c>
    </row>
    <row r="52" spans="1:10" x14ac:dyDescent="0.25">
      <c r="A52" s="2" t="s">
        <v>98</v>
      </c>
      <c r="B52" s="2">
        <v>30</v>
      </c>
      <c r="C52" s="2" t="s">
        <v>16</v>
      </c>
      <c r="D52" s="2" t="s">
        <v>64</v>
      </c>
      <c r="E52" s="3">
        <v>45668</v>
      </c>
      <c r="F52" s="3">
        <v>45668</v>
      </c>
      <c r="G52" s="2">
        <v>2500</v>
      </c>
      <c r="H52" s="2" t="s">
        <v>13</v>
      </c>
      <c r="I52" s="2" t="s">
        <v>147</v>
      </c>
      <c r="J52">
        <f>Table2[[#This Row],[Discharge Date]] - Table2[[#This Row],[Admission Date]]</f>
        <v>0</v>
      </c>
    </row>
    <row r="53" spans="1:10" hidden="1" x14ac:dyDescent="0.25">
      <c r="A53" s="2" t="s">
        <v>99</v>
      </c>
      <c r="B53" s="2">
        <v>68</v>
      </c>
      <c r="C53" s="2" t="s">
        <v>11</v>
      </c>
      <c r="D53" s="2" t="s">
        <v>66</v>
      </c>
      <c r="E53" s="3">
        <v>45674</v>
      </c>
      <c r="F53" s="3">
        <v>45684</v>
      </c>
      <c r="G53" s="2">
        <v>50000</v>
      </c>
      <c r="H53" s="2" t="s">
        <v>31</v>
      </c>
      <c r="I53" s="2" t="s">
        <v>10</v>
      </c>
      <c r="J53">
        <f>Table2[[#This Row],[Discharge Date]] - Table2[[#This Row],[Admission Date]]</f>
        <v>10</v>
      </c>
    </row>
    <row r="54" spans="1:10" x14ac:dyDescent="0.25">
      <c r="A54" s="2" t="s">
        <v>100</v>
      </c>
      <c r="B54" s="2">
        <v>34</v>
      </c>
      <c r="C54" s="2" t="s">
        <v>16</v>
      </c>
      <c r="D54" s="2" t="s">
        <v>45</v>
      </c>
      <c r="E54" s="3">
        <v>45673</v>
      </c>
      <c r="F54" s="3">
        <v>45676</v>
      </c>
      <c r="G54" s="2">
        <v>12000</v>
      </c>
      <c r="H54" s="2" t="s">
        <v>19</v>
      </c>
      <c r="I54" s="2" t="s">
        <v>15</v>
      </c>
      <c r="J54">
        <f>Table2[[#This Row],[Discharge Date]] - Table2[[#This Row],[Admission Date]]</f>
        <v>3</v>
      </c>
    </row>
    <row r="55" spans="1:10" hidden="1" x14ac:dyDescent="0.25">
      <c r="A55" s="2" t="s">
        <v>101</v>
      </c>
      <c r="B55" s="2">
        <v>49</v>
      </c>
      <c r="C55" s="2" t="s">
        <v>11</v>
      </c>
      <c r="D55" s="2" t="s">
        <v>69</v>
      </c>
      <c r="E55" s="3">
        <v>45660</v>
      </c>
      <c r="F55" s="3">
        <v>45664</v>
      </c>
      <c r="G55" s="2">
        <v>18000</v>
      </c>
      <c r="H55" s="2" t="s">
        <v>13</v>
      </c>
      <c r="I55" s="2" t="s">
        <v>21</v>
      </c>
      <c r="J55">
        <f>Table2[[#This Row],[Discharge Date]] - Table2[[#This Row],[Admission Date]]</f>
        <v>4</v>
      </c>
    </row>
    <row r="56" spans="1:10" x14ac:dyDescent="0.25">
      <c r="A56" s="2" t="s">
        <v>102</v>
      </c>
      <c r="B56" s="2">
        <v>22</v>
      </c>
      <c r="C56" s="2" t="s">
        <v>16</v>
      </c>
      <c r="D56" s="2" t="s">
        <v>71</v>
      </c>
      <c r="E56" s="3">
        <v>45662</v>
      </c>
      <c r="F56" s="3">
        <v>45662</v>
      </c>
      <c r="G56" s="2">
        <v>1500</v>
      </c>
      <c r="H56" s="2" t="s">
        <v>13</v>
      </c>
      <c r="I56" s="2" t="s">
        <v>147</v>
      </c>
      <c r="J56">
        <f>Table2[[#This Row],[Discharge Date]] - Table2[[#This Row],[Admission Date]]</f>
        <v>0</v>
      </c>
    </row>
    <row r="57" spans="1:10" hidden="1" x14ac:dyDescent="0.25">
      <c r="A57" s="2" t="s">
        <v>103</v>
      </c>
      <c r="B57" s="2">
        <v>75</v>
      </c>
      <c r="C57" s="2" t="s">
        <v>11</v>
      </c>
      <c r="D57" s="2" t="s">
        <v>73</v>
      </c>
      <c r="E57" s="3">
        <v>45670</v>
      </c>
      <c r="F57" s="3">
        <v>45675</v>
      </c>
      <c r="G57" s="2">
        <v>25000</v>
      </c>
      <c r="H57" s="2" t="s">
        <v>19</v>
      </c>
      <c r="I57" s="2" t="s">
        <v>10</v>
      </c>
      <c r="J57">
        <f>Table2[[#This Row],[Discharge Date]] - Table2[[#This Row],[Admission Date]]</f>
        <v>5</v>
      </c>
    </row>
    <row r="58" spans="1:10" x14ac:dyDescent="0.25">
      <c r="A58" s="2" t="s">
        <v>104</v>
      </c>
      <c r="B58" s="2">
        <v>57</v>
      </c>
      <c r="C58" s="2" t="s">
        <v>16</v>
      </c>
      <c r="D58" s="2" t="s">
        <v>75</v>
      </c>
      <c r="E58" s="3">
        <v>45659</v>
      </c>
      <c r="F58" s="3">
        <v>45666</v>
      </c>
      <c r="G58" s="2">
        <v>28000</v>
      </c>
      <c r="H58" s="2" t="s">
        <v>31</v>
      </c>
      <c r="I58" s="2" t="s">
        <v>15</v>
      </c>
      <c r="J58">
        <f>Table2[[#This Row],[Discharge Date]] - Table2[[#This Row],[Admission Date]]</f>
        <v>7</v>
      </c>
    </row>
    <row r="59" spans="1:10" hidden="1" x14ac:dyDescent="0.25">
      <c r="A59" s="2" t="s">
        <v>105</v>
      </c>
      <c r="B59" s="2">
        <v>61</v>
      </c>
      <c r="C59" s="2" t="s">
        <v>11</v>
      </c>
      <c r="D59" s="2" t="s">
        <v>39</v>
      </c>
      <c r="E59" s="3">
        <v>45666</v>
      </c>
      <c r="F59" s="3">
        <v>45669</v>
      </c>
      <c r="G59" s="2">
        <v>14000</v>
      </c>
      <c r="H59" s="2" t="s">
        <v>19</v>
      </c>
      <c r="I59" s="2" t="s">
        <v>21</v>
      </c>
      <c r="J59">
        <f>Table2[[#This Row],[Discharge Date]] - Table2[[#This Row],[Admission Date]]</f>
        <v>3</v>
      </c>
    </row>
    <row r="60" spans="1:10" x14ac:dyDescent="0.25">
      <c r="A60" s="2" t="s">
        <v>106</v>
      </c>
      <c r="B60" s="2">
        <v>28</v>
      </c>
      <c r="C60" s="2" t="s">
        <v>16</v>
      </c>
      <c r="D60" s="2" t="s">
        <v>41</v>
      </c>
      <c r="E60" s="3">
        <v>45670</v>
      </c>
      <c r="F60" s="3">
        <v>45671</v>
      </c>
      <c r="G60" s="2">
        <v>3000</v>
      </c>
      <c r="H60" s="2" t="s">
        <v>13</v>
      </c>
      <c r="I60" s="2" t="s">
        <v>147</v>
      </c>
      <c r="J60">
        <f>Table2[[#This Row],[Discharge Date]] - Table2[[#This Row],[Admission Date]]</f>
        <v>1</v>
      </c>
    </row>
    <row r="61" spans="1:10" hidden="1" x14ac:dyDescent="0.25">
      <c r="A61" s="2" t="s">
        <v>107</v>
      </c>
      <c r="B61" s="2">
        <v>66</v>
      </c>
      <c r="C61" s="2" t="s">
        <v>11</v>
      </c>
      <c r="D61" s="2" t="s">
        <v>12</v>
      </c>
      <c r="E61" s="3">
        <v>45661</v>
      </c>
      <c r="F61" s="3">
        <v>45665</v>
      </c>
      <c r="G61" s="2">
        <v>15000</v>
      </c>
      <c r="H61" s="2" t="s">
        <v>13</v>
      </c>
      <c r="I61" s="2" t="s">
        <v>10</v>
      </c>
      <c r="J61">
        <f>Table2[[#This Row],[Discharge Date]] - Table2[[#This Row],[Admission Date]]</f>
        <v>4</v>
      </c>
    </row>
    <row r="62" spans="1:10" x14ac:dyDescent="0.25">
      <c r="A62" s="2" t="s">
        <v>108</v>
      </c>
      <c r="B62" s="2">
        <v>44</v>
      </c>
      <c r="C62" s="2" t="s">
        <v>16</v>
      </c>
      <c r="D62" s="2" t="s">
        <v>45</v>
      </c>
      <c r="E62" s="3">
        <v>45664</v>
      </c>
      <c r="F62" s="3">
        <v>45667</v>
      </c>
      <c r="G62" s="2">
        <v>11000</v>
      </c>
      <c r="H62" s="2" t="s">
        <v>13</v>
      </c>
      <c r="I62" s="2" t="s">
        <v>15</v>
      </c>
      <c r="J62">
        <f>Table2[[#This Row],[Discharge Date]] - Table2[[#This Row],[Admission Date]]</f>
        <v>3</v>
      </c>
    </row>
    <row r="63" spans="1:10" hidden="1" x14ac:dyDescent="0.25">
      <c r="A63" s="2" t="s">
        <v>109</v>
      </c>
      <c r="B63" s="2">
        <v>50</v>
      </c>
      <c r="C63" s="2" t="s">
        <v>11</v>
      </c>
      <c r="D63" s="2" t="s">
        <v>47</v>
      </c>
      <c r="E63" s="3">
        <v>45678</v>
      </c>
      <c r="F63" s="3">
        <v>45682</v>
      </c>
      <c r="G63" s="2">
        <v>13000</v>
      </c>
      <c r="H63" s="2" t="s">
        <v>19</v>
      </c>
      <c r="I63" s="2" t="s">
        <v>21</v>
      </c>
      <c r="J63">
        <f>Table2[[#This Row],[Discharge Date]] - Table2[[#This Row],[Admission Date]]</f>
        <v>4</v>
      </c>
    </row>
    <row r="64" spans="1:10" x14ac:dyDescent="0.25">
      <c r="A64" s="2" t="s">
        <v>110</v>
      </c>
      <c r="B64" s="2">
        <v>37</v>
      </c>
      <c r="C64" s="2" t="s">
        <v>16</v>
      </c>
      <c r="D64" s="2" t="s">
        <v>49</v>
      </c>
      <c r="E64" s="3">
        <v>45673</v>
      </c>
      <c r="F64" s="3">
        <v>45674</v>
      </c>
      <c r="G64" s="2">
        <v>3500</v>
      </c>
      <c r="H64" s="2" t="s">
        <v>13</v>
      </c>
      <c r="I64" s="2" t="s">
        <v>147</v>
      </c>
      <c r="J64">
        <f>Table2[[#This Row],[Discharge Date]] - Table2[[#This Row],[Admission Date]]</f>
        <v>1</v>
      </c>
    </row>
    <row r="65" spans="1:10" hidden="1" x14ac:dyDescent="0.25">
      <c r="A65" s="2" t="s">
        <v>111</v>
      </c>
      <c r="B65" s="2">
        <v>59</v>
      </c>
      <c r="C65" s="2" t="s">
        <v>11</v>
      </c>
      <c r="D65" s="2" t="s">
        <v>23</v>
      </c>
      <c r="E65" s="3">
        <v>45659</v>
      </c>
      <c r="F65" s="3">
        <v>45660</v>
      </c>
      <c r="G65" s="2">
        <v>9000</v>
      </c>
      <c r="H65" s="2" t="s">
        <v>13</v>
      </c>
      <c r="I65" s="2" t="s">
        <v>10</v>
      </c>
      <c r="J65">
        <f>Table2[[#This Row],[Discharge Date]] - Table2[[#This Row],[Admission Date]]</f>
        <v>1</v>
      </c>
    </row>
    <row r="66" spans="1:10" x14ac:dyDescent="0.25">
      <c r="A66" s="2" t="s">
        <v>112</v>
      </c>
      <c r="B66" s="2">
        <v>47</v>
      </c>
      <c r="C66" s="2" t="s">
        <v>16</v>
      </c>
      <c r="D66" s="2" t="s">
        <v>60</v>
      </c>
      <c r="E66" s="3">
        <v>45666</v>
      </c>
      <c r="F66" s="3">
        <v>45667</v>
      </c>
      <c r="G66" s="2">
        <v>6000</v>
      </c>
      <c r="H66" s="2" t="s">
        <v>19</v>
      </c>
      <c r="I66" s="2" t="s">
        <v>15</v>
      </c>
      <c r="J66">
        <f>Table2[[#This Row],[Discharge Date]] - Table2[[#This Row],[Admission Date]]</f>
        <v>1</v>
      </c>
    </row>
    <row r="67" spans="1:10" hidden="1" x14ac:dyDescent="0.25">
      <c r="A67" s="2" t="s">
        <v>113</v>
      </c>
      <c r="B67" s="2">
        <v>53</v>
      </c>
      <c r="C67" s="2" t="s">
        <v>11</v>
      </c>
      <c r="D67" s="2" t="s">
        <v>62</v>
      </c>
      <c r="E67" s="3">
        <v>45667</v>
      </c>
      <c r="F67" s="3">
        <v>45670</v>
      </c>
      <c r="G67" s="2">
        <v>17000</v>
      </c>
      <c r="H67" s="2" t="s">
        <v>13</v>
      </c>
      <c r="I67" s="2" t="s">
        <v>21</v>
      </c>
      <c r="J67">
        <f>Table2[[#This Row],[Discharge Date]] - Table2[[#This Row],[Admission Date]]</f>
        <v>3</v>
      </c>
    </row>
    <row r="68" spans="1:10" x14ac:dyDescent="0.25">
      <c r="A68" s="2" t="s">
        <v>114</v>
      </c>
      <c r="B68" s="2">
        <v>30</v>
      </c>
      <c r="C68" s="2" t="s">
        <v>16</v>
      </c>
      <c r="D68" s="2" t="s">
        <v>64</v>
      </c>
      <c r="E68" s="3">
        <v>45668</v>
      </c>
      <c r="F68" s="3">
        <v>45668</v>
      </c>
      <c r="G68" s="2">
        <v>2500</v>
      </c>
      <c r="H68" s="2" t="s">
        <v>13</v>
      </c>
      <c r="I68" s="2" t="s">
        <v>147</v>
      </c>
      <c r="J68">
        <f>Table2[[#This Row],[Discharge Date]] - Table2[[#This Row],[Admission Date]]</f>
        <v>0</v>
      </c>
    </row>
    <row r="69" spans="1:10" hidden="1" x14ac:dyDescent="0.25">
      <c r="A69" s="2" t="s">
        <v>115</v>
      </c>
      <c r="B69" s="2">
        <v>68</v>
      </c>
      <c r="C69" s="2" t="s">
        <v>11</v>
      </c>
      <c r="D69" s="2" t="s">
        <v>66</v>
      </c>
      <c r="E69" s="3">
        <v>45674</v>
      </c>
      <c r="F69" s="3">
        <v>45684</v>
      </c>
      <c r="G69" s="2">
        <v>50000</v>
      </c>
      <c r="H69" s="2" t="s">
        <v>31</v>
      </c>
      <c r="I69" s="2" t="s">
        <v>10</v>
      </c>
      <c r="J69">
        <f>Table2[[#This Row],[Discharge Date]] - Table2[[#This Row],[Admission Date]]</f>
        <v>10</v>
      </c>
    </row>
    <row r="70" spans="1:10" x14ac:dyDescent="0.25">
      <c r="A70" s="2" t="s">
        <v>116</v>
      </c>
      <c r="B70" s="2">
        <v>34</v>
      </c>
      <c r="C70" s="2" t="s">
        <v>16</v>
      </c>
      <c r="D70" s="2" t="s">
        <v>45</v>
      </c>
      <c r="E70" s="3">
        <v>45673</v>
      </c>
      <c r="F70" s="3">
        <v>45676</v>
      </c>
      <c r="G70" s="2">
        <v>12000</v>
      </c>
      <c r="H70" s="2" t="s">
        <v>19</v>
      </c>
      <c r="I70" s="2" t="s">
        <v>15</v>
      </c>
      <c r="J70">
        <f>Table2[[#This Row],[Discharge Date]] - Table2[[#This Row],[Admission Date]]</f>
        <v>3</v>
      </c>
    </row>
    <row r="71" spans="1:10" hidden="1" x14ac:dyDescent="0.25">
      <c r="A71" s="2" t="s">
        <v>117</v>
      </c>
      <c r="B71" s="2">
        <v>49</v>
      </c>
      <c r="C71" s="2" t="s">
        <v>11</v>
      </c>
      <c r="D71" s="2" t="s">
        <v>69</v>
      </c>
      <c r="E71" s="3">
        <v>45660</v>
      </c>
      <c r="F71" s="3">
        <v>45664</v>
      </c>
      <c r="G71" s="2">
        <v>18000</v>
      </c>
      <c r="H71" s="2" t="s">
        <v>13</v>
      </c>
      <c r="I71" s="2" t="s">
        <v>21</v>
      </c>
      <c r="J71">
        <f>Table2[[#This Row],[Discharge Date]] - Table2[[#This Row],[Admission Date]]</f>
        <v>4</v>
      </c>
    </row>
    <row r="72" spans="1:10" x14ac:dyDescent="0.25">
      <c r="A72" s="2" t="s">
        <v>118</v>
      </c>
      <c r="B72" s="2">
        <v>22</v>
      </c>
      <c r="C72" s="2" t="s">
        <v>16</v>
      </c>
      <c r="D72" s="2" t="s">
        <v>71</v>
      </c>
      <c r="E72" s="3">
        <v>45662</v>
      </c>
      <c r="F72" s="3">
        <v>45662</v>
      </c>
      <c r="G72" s="2">
        <v>1500</v>
      </c>
      <c r="H72" s="2" t="s">
        <v>13</v>
      </c>
      <c r="I72" s="2" t="s">
        <v>147</v>
      </c>
      <c r="J72">
        <f>Table2[[#This Row],[Discharge Date]] - Table2[[#This Row],[Admission Date]]</f>
        <v>0</v>
      </c>
    </row>
    <row r="73" spans="1:10" hidden="1" x14ac:dyDescent="0.25">
      <c r="A73" s="2" t="s">
        <v>119</v>
      </c>
      <c r="B73" s="2">
        <v>75</v>
      </c>
      <c r="C73" s="2" t="s">
        <v>11</v>
      </c>
      <c r="D73" s="2" t="s">
        <v>73</v>
      </c>
      <c r="E73" s="3">
        <v>45670</v>
      </c>
      <c r="F73" s="3">
        <v>45675</v>
      </c>
      <c r="G73" s="2">
        <v>25000</v>
      </c>
      <c r="H73" s="2" t="s">
        <v>19</v>
      </c>
      <c r="I73" s="2" t="s">
        <v>10</v>
      </c>
      <c r="J73">
        <f>Table2[[#This Row],[Discharge Date]] - Table2[[#This Row],[Admission Date]]</f>
        <v>5</v>
      </c>
    </row>
    <row r="74" spans="1:10" x14ac:dyDescent="0.25">
      <c r="A74" s="2" t="s">
        <v>120</v>
      </c>
      <c r="B74" s="2">
        <v>57</v>
      </c>
      <c r="C74" s="2" t="s">
        <v>16</v>
      </c>
      <c r="D74" s="2" t="s">
        <v>75</v>
      </c>
      <c r="E74" s="3">
        <v>45659</v>
      </c>
      <c r="F74" s="3">
        <v>45666</v>
      </c>
      <c r="G74" s="2">
        <v>28000</v>
      </c>
      <c r="H74" s="2" t="s">
        <v>31</v>
      </c>
      <c r="I74" s="2" t="s">
        <v>15</v>
      </c>
      <c r="J74">
        <f>Table2[[#This Row],[Discharge Date]] - Table2[[#This Row],[Admission Date]]</f>
        <v>7</v>
      </c>
    </row>
    <row r="75" spans="1:10" hidden="1" x14ac:dyDescent="0.25">
      <c r="A75" s="2" t="s">
        <v>121</v>
      </c>
      <c r="B75" s="2">
        <v>61</v>
      </c>
      <c r="C75" s="2" t="s">
        <v>11</v>
      </c>
      <c r="D75" s="2" t="s">
        <v>39</v>
      </c>
      <c r="E75" s="3">
        <v>45666</v>
      </c>
      <c r="F75" s="3">
        <v>45669</v>
      </c>
      <c r="G75" s="2">
        <v>14000</v>
      </c>
      <c r="H75" s="2" t="s">
        <v>19</v>
      </c>
      <c r="I75" s="2" t="s">
        <v>21</v>
      </c>
      <c r="J75">
        <f>Table2[[#This Row],[Discharge Date]] - Table2[[#This Row],[Admission Date]]</f>
        <v>3</v>
      </c>
    </row>
    <row r="76" spans="1:10" x14ac:dyDescent="0.25">
      <c r="A76" s="2" t="s">
        <v>122</v>
      </c>
      <c r="B76" s="2">
        <v>28</v>
      </c>
      <c r="C76" s="2" t="s">
        <v>16</v>
      </c>
      <c r="D76" s="2" t="s">
        <v>41</v>
      </c>
      <c r="E76" s="3">
        <v>45670</v>
      </c>
      <c r="F76" s="3">
        <v>45671</v>
      </c>
      <c r="G76" s="2">
        <v>3000</v>
      </c>
      <c r="H76" s="2" t="s">
        <v>13</v>
      </c>
      <c r="I76" s="2" t="s">
        <v>147</v>
      </c>
      <c r="J76">
        <f>Table2[[#This Row],[Discharge Date]] - Table2[[#This Row],[Admission Date]]</f>
        <v>1</v>
      </c>
    </row>
    <row r="77" spans="1:10" hidden="1" x14ac:dyDescent="0.25">
      <c r="A77" s="2" t="s">
        <v>123</v>
      </c>
      <c r="B77" s="2">
        <v>66</v>
      </c>
      <c r="C77" s="2" t="s">
        <v>11</v>
      </c>
      <c r="D77" s="2" t="s">
        <v>12</v>
      </c>
      <c r="E77" s="3">
        <v>45661</v>
      </c>
      <c r="F77" s="3">
        <v>45665</v>
      </c>
      <c r="G77" s="2">
        <v>15000</v>
      </c>
      <c r="H77" s="2" t="s">
        <v>13</v>
      </c>
      <c r="I77" s="2" t="s">
        <v>10</v>
      </c>
      <c r="J77">
        <f>Table2[[#This Row],[Discharge Date]] - Table2[[#This Row],[Admission Date]]</f>
        <v>4</v>
      </c>
    </row>
    <row r="78" spans="1:10" x14ac:dyDescent="0.25">
      <c r="A78" s="2" t="s">
        <v>124</v>
      </c>
      <c r="B78" s="2">
        <v>44</v>
      </c>
      <c r="C78" s="2" t="s">
        <v>16</v>
      </c>
      <c r="D78" s="2" t="s">
        <v>45</v>
      </c>
      <c r="E78" s="3">
        <v>45664</v>
      </c>
      <c r="F78" s="3">
        <v>45667</v>
      </c>
      <c r="G78" s="2">
        <v>11000</v>
      </c>
      <c r="H78" s="2" t="s">
        <v>13</v>
      </c>
      <c r="I78" s="2" t="s">
        <v>15</v>
      </c>
      <c r="J78">
        <f>Table2[[#This Row],[Discharge Date]] - Table2[[#This Row],[Admission Date]]</f>
        <v>3</v>
      </c>
    </row>
    <row r="79" spans="1:10" hidden="1" x14ac:dyDescent="0.25">
      <c r="A79" s="2" t="s">
        <v>125</v>
      </c>
      <c r="B79" s="2">
        <v>50</v>
      </c>
      <c r="C79" s="2" t="s">
        <v>11</v>
      </c>
      <c r="D79" s="2" t="s">
        <v>47</v>
      </c>
      <c r="E79" s="3">
        <v>45678</v>
      </c>
      <c r="F79" s="3">
        <v>45682</v>
      </c>
      <c r="G79" s="2">
        <v>13000</v>
      </c>
      <c r="H79" s="2" t="s">
        <v>19</v>
      </c>
      <c r="I79" s="2" t="s">
        <v>21</v>
      </c>
      <c r="J79">
        <f>Table2[[#This Row],[Discharge Date]] - Table2[[#This Row],[Admission Date]]</f>
        <v>4</v>
      </c>
    </row>
    <row r="80" spans="1:10" x14ac:dyDescent="0.25">
      <c r="A80" s="2" t="s">
        <v>126</v>
      </c>
      <c r="B80" s="2">
        <v>37</v>
      </c>
      <c r="C80" s="2" t="s">
        <v>16</v>
      </c>
      <c r="D80" s="2" t="s">
        <v>49</v>
      </c>
      <c r="E80" s="3">
        <v>45673</v>
      </c>
      <c r="F80" s="3">
        <v>45674</v>
      </c>
      <c r="G80" s="2">
        <v>3500</v>
      </c>
      <c r="H80" s="2" t="s">
        <v>13</v>
      </c>
      <c r="I80" s="2" t="s">
        <v>147</v>
      </c>
      <c r="J80">
        <f>Table2[[#This Row],[Discharge Date]] - Table2[[#This Row],[Admission Date]]</f>
        <v>1</v>
      </c>
    </row>
    <row r="81" spans="1:10" hidden="1" x14ac:dyDescent="0.25">
      <c r="A81" s="2" t="s">
        <v>127</v>
      </c>
      <c r="B81" s="2">
        <v>59</v>
      </c>
      <c r="C81" s="2" t="s">
        <v>11</v>
      </c>
      <c r="D81" s="2" t="s">
        <v>23</v>
      </c>
      <c r="E81" s="3">
        <v>45659</v>
      </c>
      <c r="F81" s="3">
        <v>45660</v>
      </c>
      <c r="G81" s="2">
        <v>9000</v>
      </c>
      <c r="H81" s="2" t="s">
        <v>13</v>
      </c>
      <c r="I81" s="2" t="s">
        <v>10</v>
      </c>
      <c r="J81">
        <f>Table2[[#This Row],[Discharge Date]] - Table2[[#This Row],[Admission Date]]</f>
        <v>1</v>
      </c>
    </row>
    <row r="82" spans="1:10" x14ac:dyDescent="0.25">
      <c r="A82" s="2" t="s">
        <v>128</v>
      </c>
      <c r="B82" s="2">
        <v>47</v>
      </c>
      <c r="C82" s="2" t="s">
        <v>16</v>
      </c>
      <c r="D82" s="2" t="s">
        <v>60</v>
      </c>
      <c r="E82" s="3">
        <v>45666</v>
      </c>
      <c r="F82" s="3">
        <v>45667</v>
      </c>
      <c r="G82" s="2">
        <v>6000</v>
      </c>
      <c r="H82" s="2" t="s">
        <v>19</v>
      </c>
      <c r="I82" s="2" t="s">
        <v>15</v>
      </c>
      <c r="J82">
        <f>Table2[[#This Row],[Discharge Date]] - Table2[[#This Row],[Admission Date]]</f>
        <v>1</v>
      </c>
    </row>
    <row r="83" spans="1:10" hidden="1" x14ac:dyDescent="0.25">
      <c r="A83" s="2" t="s">
        <v>129</v>
      </c>
      <c r="B83" s="2">
        <v>53</v>
      </c>
      <c r="C83" s="2" t="s">
        <v>11</v>
      </c>
      <c r="D83" s="2" t="s">
        <v>62</v>
      </c>
      <c r="E83" s="3">
        <v>45667</v>
      </c>
      <c r="F83" s="3">
        <v>45670</v>
      </c>
      <c r="G83" s="2">
        <v>17000</v>
      </c>
      <c r="H83" s="2" t="s">
        <v>13</v>
      </c>
      <c r="I83" s="2" t="s">
        <v>21</v>
      </c>
      <c r="J83">
        <f>Table2[[#This Row],[Discharge Date]] - Table2[[#This Row],[Admission Date]]</f>
        <v>3</v>
      </c>
    </row>
    <row r="84" spans="1:10" x14ac:dyDescent="0.25">
      <c r="A84" s="2" t="s">
        <v>130</v>
      </c>
      <c r="B84" s="2">
        <v>30</v>
      </c>
      <c r="C84" s="2" t="s">
        <v>16</v>
      </c>
      <c r="D84" s="2" t="s">
        <v>64</v>
      </c>
      <c r="E84" s="3">
        <v>45668</v>
      </c>
      <c r="F84" s="3">
        <v>45668</v>
      </c>
      <c r="G84" s="2">
        <v>2500</v>
      </c>
      <c r="H84" s="2" t="s">
        <v>13</v>
      </c>
      <c r="I84" s="2" t="s">
        <v>147</v>
      </c>
      <c r="J84">
        <f>Table2[[#This Row],[Discharge Date]] - Table2[[#This Row],[Admission Date]]</f>
        <v>0</v>
      </c>
    </row>
    <row r="85" spans="1:10" hidden="1" x14ac:dyDescent="0.25">
      <c r="A85" s="2" t="s">
        <v>131</v>
      </c>
      <c r="B85" s="2">
        <v>68</v>
      </c>
      <c r="C85" s="2" t="s">
        <v>11</v>
      </c>
      <c r="D85" s="2" t="s">
        <v>66</v>
      </c>
      <c r="E85" s="3">
        <v>45674</v>
      </c>
      <c r="F85" s="3">
        <v>45684</v>
      </c>
      <c r="G85" s="2">
        <v>50000</v>
      </c>
      <c r="H85" s="2" t="s">
        <v>31</v>
      </c>
      <c r="I85" s="2" t="s">
        <v>10</v>
      </c>
      <c r="J85">
        <f>Table2[[#This Row],[Discharge Date]] - Table2[[#This Row],[Admission Date]]</f>
        <v>10</v>
      </c>
    </row>
    <row r="86" spans="1:10" x14ac:dyDescent="0.25">
      <c r="A86" s="2" t="s">
        <v>132</v>
      </c>
      <c r="B86" s="2">
        <v>34</v>
      </c>
      <c r="C86" s="2" t="s">
        <v>16</v>
      </c>
      <c r="D86" s="2" t="s">
        <v>45</v>
      </c>
      <c r="E86" s="3">
        <v>45673</v>
      </c>
      <c r="F86" s="3">
        <v>45676</v>
      </c>
      <c r="G86" s="2">
        <v>12000</v>
      </c>
      <c r="H86" s="2" t="s">
        <v>19</v>
      </c>
      <c r="I86" s="2" t="s">
        <v>15</v>
      </c>
      <c r="J86">
        <f>Table2[[#This Row],[Discharge Date]] - Table2[[#This Row],[Admission Date]]</f>
        <v>3</v>
      </c>
    </row>
    <row r="87" spans="1:10" hidden="1" x14ac:dyDescent="0.25">
      <c r="A87" s="2" t="s">
        <v>133</v>
      </c>
      <c r="B87" s="2">
        <v>49</v>
      </c>
      <c r="C87" s="2" t="s">
        <v>11</v>
      </c>
      <c r="D87" s="2" t="s">
        <v>69</v>
      </c>
      <c r="E87" s="3">
        <v>45660</v>
      </c>
      <c r="F87" s="3">
        <v>45664</v>
      </c>
      <c r="G87" s="2">
        <v>18000</v>
      </c>
      <c r="H87" s="2" t="s">
        <v>13</v>
      </c>
      <c r="I87" s="2" t="s">
        <v>21</v>
      </c>
      <c r="J87">
        <f>Table2[[#This Row],[Discharge Date]] - Table2[[#This Row],[Admission Date]]</f>
        <v>4</v>
      </c>
    </row>
    <row r="88" spans="1:10" x14ac:dyDescent="0.25">
      <c r="A88" s="2" t="s">
        <v>134</v>
      </c>
      <c r="B88" s="2">
        <v>22</v>
      </c>
      <c r="C88" s="2" t="s">
        <v>16</v>
      </c>
      <c r="D88" s="2" t="s">
        <v>71</v>
      </c>
      <c r="E88" s="3">
        <v>45662</v>
      </c>
      <c r="F88" s="3">
        <v>45662</v>
      </c>
      <c r="G88" s="2">
        <v>1500</v>
      </c>
      <c r="H88" s="2" t="s">
        <v>13</v>
      </c>
      <c r="I88" s="2" t="s">
        <v>147</v>
      </c>
      <c r="J88">
        <f>Table2[[#This Row],[Discharge Date]] - Table2[[#This Row],[Admission Date]]</f>
        <v>0</v>
      </c>
    </row>
    <row r="89" spans="1:10" hidden="1" x14ac:dyDescent="0.25">
      <c r="A89" s="2" t="s">
        <v>135</v>
      </c>
      <c r="B89" s="2">
        <v>75</v>
      </c>
      <c r="C89" s="2" t="s">
        <v>11</v>
      </c>
      <c r="D89" s="2" t="s">
        <v>73</v>
      </c>
      <c r="E89" s="3">
        <v>45670</v>
      </c>
      <c r="F89" s="3">
        <v>45675</v>
      </c>
      <c r="G89" s="2">
        <v>25000</v>
      </c>
      <c r="H89" s="2" t="s">
        <v>19</v>
      </c>
      <c r="I89" s="2" t="s">
        <v>10</v>
      </c>
      <c r="J89">
        <f>Table2[[#This Row],[Discharge Date]] - Table2[[#This Row],[Admission Date]]</f>
        <v>5</v>
      </c>
    </row>
    <row r="90" spans="1:10" x14ac:dyDescent="0.25">
      <c r="A90" s="2" t="s">
        <v>136</v>
      </c>
      <c r="B90" s="2">
        <v>57</v>
      </c>
      <c r="C90" s="2" t="s">
        <v>16</v>
      </c>
      <c r="D90" s="2" t="s">
        <v>75</v>
      </c>
      <c r="E90" s="3">
        <v>45659</v>
      </c>
      <c r="F90" s="3">
        <v>45666</v>
      </c>
      <c r="G90" s="2">
        <v>28000</v>
      </c>
      <c r="H90" s="2" t="s">
        <v>31</v>
      </c>
      <c r="I90" s="2" t="s">
        <v>15</v>
      </c>
      <c r="J90">
        <f>Table2[[#This Row],[Discharge Date]] - Table2[[#This Row],[Admission Date]]</f>
        <v>7</v>
      </c>
    </row>
    <row r="91" spans="1:10" hidden="1" x14ac:dyDescent="0.25">
      <c r="A91" s="2" t="s">
        <v>137</v>
      </c>
      <c r="B91" s="2">
        <v>61</v>
      </c>
      <c r="C91" s="2" t="s">
        <v>11</v>
      </c>
      <c r="D91" s="2" t="s">
        <v>39</v>
      </c>
      <c r="E91" s="3">
        <v>45666</v>
      </c>
      <c r="F91" s="3">
        <v>45669</v>
      </c>
      <c r="G91" s="2">
        <v>14000</v>
      </c>
      <c r="H91" s="2" t="s">
        <v>19</v>
      </c>
      <c r="I91" s="2" t="s">
        <v>21</v>
      </c>
      <c r="J91">
        <f>Table2[[#This Row],[Discharge Date]] - Table2[[#This Row],[Admission Date]]</f>
        <v>3</v>
      </c>
    </row>
    <row r="92" spans="1:10" x14ac:dyDescent="0.25">
      <c r="A92" s="2" t="s">
        <v>138</v>
      </c>
      <c r="B92" s="2">
        <v>28</v>
      </c>
      <c r="C92" s="2" t="s">
        <v>16</v>
      </c>
      <c r="D92" s="2" t="s">
        <v>41</v>
      </c>
      <c r="E92" s="3">
        <v>45670</v>
      </c>
      <c r="F92" s="3">
        <v>45671</v>
      </c>
      <c r="G92" s="2">
        <v>3000</v>
      </c>
      <c r="H92" s="2" t="s">
        <v>13</v>
      </c>
      <c r="I92" s="2" t="s">
        <v>147</v>
      </c>
      <c r="J92">
        <f>Table2[[#This Row],[Discharge Date]] - Table2[[#This Row],[Admission Date]]</f>
        <v>1</v>
      </c>
    </row>
    <row r="93" spans="1:10" hidden="1" x14ac:dyDescent="0.25">
      <c r="A93" s="2" t="s">
        <v>139</v>
      </c>
      <c r="B93" s="2">
        <v>66</v>
      </c>
      <c r="C93" s="2" t="s">
        <v>11</v>
      </c>
      <c r="D93" s="2" t="s">
        <v>12</v>
      </c>
      <c r="E93" s="3">
        <v>45661</v>
      </c>
      <c r="F93" s="3">
        <v>45665</v>
      </c>
      <c r="G93" s="2">
        <v>15000</v>
      </c>
      <c r="H93" s="2" t="s">
        <v>13</v>
      </c>
      <c r="I93" s="2" t="s">
        <v>10</v>
      </c>
      <c r="J93">
        <f>Table2[[#This Row],[Discharge Date]] - Table2[[#This Row],[Admission Date]]</f>
        <v>4</v>
      </c>
    </row>
    <row r="94" spans="1:10" x14ac:dyDescent="0.25">
      <c r="A94" s="2" t="s">
        <v>140</v>
      </c>
      <c r="B94" s="2">
        <v>44</v>
      </c>
      <c r="C94" s="2" t="s">
        <v>16</v>
      </c>
      <c r="D94" s="2" t="s">
        <v>45</v>
      </c>
      <c r="E94" s="3">
        <v>45664</v>
      </c>
      <c r="F94" s="3">
        <v>45667</v>
      </c>
      <c r="G94" s="2">
        <v>11000</v>
      </c>
      <c r="H94" s="2" t="s">
        <v>13</v>
      </c>
      <c r="I94" s="2" t="s">
        <v>15</v>
      </c>
      <c r="J94">
        <f>Table2[[#This Row],[Discharge Date]] - Table2[[#This Row],[Admission Date]]</f>
        <v>3</v>
      </c>
    </row>
    <row r="95" spans="1:10" hidden="1" x14ac:dyDescent="0.25">
      <c r="A95" s="2" t="s">
        <v>141</v>
      </c>
      <c r="B95" s="2">
        <v>50</v>
      </c>
      <c r="C95" s="2" t="s">
        <v>11</v>
      </c>
      <c r="D95" s="2" t="s">
        <v>47</v>
      </c>
      <c r="E95" s="3">
        <v>45678</v>
      </c>
      <c r="F95" s="3">
        <v>45682</v>
      </c>
      <c r="G95" s="2">
        <v>13000</v>
      </c>
      <c r="H95" s="2" t="s">
        <v>19</v>
      </c>
      <c r="I95" s="2" t="s">
        <v>21</v>
      </c>
      <c r="J95">
        <f>Table2[[#This Row],[Discharge Date]] - Table2[[#This Row],[Admission Date]]</f>
        <v>4</v>
      </c>
    </row>
    <row r="96" spans="1:10" x14ac:dyDescent="0.25">
      <c r="A96" s="2" t="s">
        <v>142</v>
      </c>
      <c r="B96" s="2">
        <v>37</v>
      </c>
      <c r="C96" s="2" t="s">
        <v>16</v>
      </c>
      <c r="D96" s="2" t="s">
        <v>49</v>
      </c>
      <c r="E96" s="3">
        <v>45673</v>
      </c>
      <c r="F96" s="3">
        <v>45674</v>
      </c>
      <c r="G96" s="2">
        <v>3500</v>
      </c>
      <c r="H96" s="2" t="s">
        <v>13</v>
      </c>
      <c r="I96" s="2" t="s">
        <v>147</v>
      </c>
      <c r="J96">
        <f>Table2[[#This Row],[Discharge Date]] - Table2[[#This Row],[Admission Date]]</f>
        <v>1</v>
      </c>
    </row>
    <row r="97" spans="1:10" hidden="1" x14ac:dyDescent="0.25">
      <c r="A97" s="2" t="s">
        <v>143</v>
      </c>
      <c r="B97" s="2">
        <v>59</v>
      </c>
      <c r="C97" s="2" t="s">
        <v>11</v>
      </c>
      <c r="D97" s="2" t="s">
        <v>23</v>
      </c>
      <c r="E97" s="3">
        <v>45659</v>
      </c>
      <c r="F97" s="3">
        <v>45660</v>
      </c>
      <c r="G97" s="2">
        <v>9000</v>
      </c>
      <c r="H97" s="2" t="s">
        <v>13</v>
      </c>
      <c r="I97" s="2" t="s">
        <v>10</v>
      </c>
      <c r="J97">
        <f>Table2[[#This Row],[Discharge Date]] - Table2[[#This Row],[Admission Date]]</f>
        <v>1</v>
      </c>
    </row>
    <row r="98" spans="1:10" x14ac:dyDescent="0.25">
      <c r="A98" s="2" t="s">
        <v>144</v>
      </c>
      <c r="B98" s="2">
        <v>47</v>
      </c>
      <c r="C98" s="2" t="s">
        <v>16</v>
      </c>
      <c r="D98" s="2" t="s">
        <v>60</v>
      </c>
      <c r="E98" s="3">
        <v>45666</v>
      </c>
      <c r="F98" s="3">
        <v>45667</v>
      </c>
      <c r="G98" s="2">
        <v>6000</v>
      </c>
      <c r="H98" s="2" t="s">
        <v>19</v>
      </c>
      <c r="I98" s="2" t="s">
        <v>15</v>
      </c>
      <c r="J98">
        <f>Table2[[#This Row],[Discharge Date]] - Table2[[#This Row],[Admission Date]]</f>
        <v>1</v>
      </c>
    </row>
    <row r="99" spans="1:10" hidden="1" x14ac:dyDescent="0.25">
      <c r="A99" s="2" t="s">
        <v>145</v>
      </c>
      <c r="B99" s="2">
        <v>53</v>
      </c>
      <c r="C99" s="2" t="s">
        <v>11</v>
      </c>
      <c r="D99" s="2" t="s">
        <v>62</v>
      </c>
      <c r="E99" s="3">
        <v>45667</v>
      </c>
      <c r="F99" s="3">
        <v>45670</v>
      </c>
      <c r="G99" s="2">
        <v>17000</v>
      </c>
      <c r="H99" s="2" t="s">
        <v>13</v>
      </c>
      <c r="I99" s="2" t="s">
        <v>21</v>
      </c>
      <c r="J99">
        <f>Table2[[#This Row],[Discharge Date]] - Table2[[#This Row],[Admission Date]]</f>
        <v>3</v>
      </c>
    </row>
    <row r="100" spans="1:10" x14ac:dyDescent="0.25">
      <c r="A100" s="2" t="s">
        <v>146</v>
      </c>
      <c r="B100" s="2">
        <v>30</v>
      </c>
      <c r="C100" s="2" t="s">
        <v>16</v>
      </c>
      <c r="D100" s="2" t="s">
        <v>64</v>
      </c>
      <c r="E100" s="3">
        <v>45668</v>
      </c>
      <c r="F100" s="3">
        <v>45668</v>
      </c>
      <c r="G100" s="2">
        <v>2500</v>
      </c>
      <c r="H100" s="2" t="s">
        <v>13</v>
      </c>
      <c r="I100" s="2" t="s">
        <v>147</v>
      </c>
      <c r="J100">
        <f>Table2[[#This Row],[Discharge Date]] - Table2[[#This Row],[Admission Date]]</f>
        <v>0</v>
      </c>
    </row>
    <row r="1048576" spans="7:7" x14ac:dyDescent="0.25">
      <c r="G1048576" s="2">
        <f>SUBTOTAL(9,G2:G1048575)</f>
        <v>424000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5F932-135E-4E73-B1DE-60BE3769A1ED}">
  <dimension ref="A3:R33"/>
  <sheetViews>
    <sheetView zoomScale="110" zoomScaleNormal="59" workbookViewId="0">
      <selection activeCell="I18" sqref="I18"/>
    </sheetView>
  </sheetViews>
  <sheetFormatPr defaultRowHeight="15" x14ac:dyDescent="0.25"/>
  <cols>
    <col min="1" max="1" width="13.140625" bestFit="1" customWidth="1"/>
    <col min="2" max="2" width="21.5703125" bestFit="1" customWidth="1"/>
    <col min="6" max="6" width="23.140625" bestFit="1" customWidth="1"/>
    <col min="7" max="7" width="28.140625" bestFit="1" customWidth="1"/>
    <col min="11" max="11" width="14.28515625" bestFit="1" customWidth="1"/>
    <col min="12" max="12" width="21.5703125" bestFit="1" customWidth="1"/>
    <col min="17" max="17" width="14.28515625" bestFit="1" customWidth="1"/>
    <col min="18" max="18" width="21.85546875" bestFit="1" customWidth="1"/>
  </cols>
  <sheetData>
    <row r="3" spans="1:18" ht="23.25" x14ac:dyDescent="0.35">
      <c r="A3" s="6"/>
      <c r="F3" s="13" t="s">
        <v>153</v>
      </c>
      <c r="G3" s="11"/>
      <c r="H3" s="11"/>
      <c r="I3" s="11"/>
      <c r="K3" s="12"/>
      <c r="L3" s="12" t="s">
        <v>154</v>
      </c>
      <c r="M3" s="12"/>
      <c r="N3" s="12"/>
      <c r="R3" s="6"/>
    </row>
    <row r="5" spans="1:18" x14ac:dyDescent="0.25">
      <c r="A5" s="4" t="s">
        <v>1</v>
      </c>
      <c r="B5" t="s">
        <v>151</v>
      </c>
      <c r="F5" s="4" t="s">
        <v>4</v>
      </c>
      <c r="G5" t="s">
        <v>152</v>
      </c>
      <c r="K5" s="4" t="s">
        <v>196</v>
      </c>
      <c r="L5" t="s">
        <v>151</v>
      </c>
    </row>
    <row r="6" spans="1:18" x14ac:dyDescent="0.25">
      <c r="A6" s="5" t="s">
        <v>10</v>
      </c>
      <c r="B6">
        <v>547000</v>
      </c>
      <c r="F6" s="5" t="s">
        <v>41</v>
      </c>
      <c r="G6">
        <v>3</v>
      </c>
      <c r="K6" s="5" t="s">
        <v>19</v>
      </c>
      <c r="L6">
        <v>445500</v>
      </c>
    </row>
    <row r="7" spans="1:18" x14ac:dyDescent="0.25">
      <c r="A7" s="5" t="s">
        <v>147</v>
      </c>
      <c r="B7">
        <v>73000</v>
      </c>
      <c r="F7" s="5" t="s">
        <v>23</v>
      </c>
      <c r="G7">
        <v>4</v>
      </c>
      <c r="K7" s="5" t="s">
        <v>31</v>
      </c>
      <c r="L7">
        <v>408000</v>
      </c>
    </row>
    <row r="8" spans="1:18" x14ac:dyDescent="0.25">
      <c r="A8" s="5" t="s">
        <v>15</v>
      </c>
      <c r="B8">
        <v>361000</v>
      </c>
      <c r="F8" s="5" t="s">
        <v>30</v>
      </c>
      <c r="G8">
        <v>8</v>
      </c>
      <c r="K8" s="5" t="s">
        <v>13</v>
      </c>
      <c r="L8">
        <v>530500</v>
      </c>
    </row>
    <row r="9" spans="1:18" x14ac:dyDescent="0.25">
      <c r="A9" s="5" t="s">
        <v>21</v>
      </c>
      <c r="B9">
        <v>403000</v>
      </c>
      <c r="F9" s="5" t="s">
        <v>47</v>
      </c>
      <c r="G9">
        <v>4</v>
      </c>
      <c r="K9" s="5" t="s">
        <v>150</v>
      </c>
      <c r="L9">
        <v>1384000</v>
      </c>
    </row>
    <row r="10" spans="1:18" x14ac:dyDescent="0.25">
      <c r="A10" s="5" t="s">
        <v>150</v>
      </c>
      <c r="B10">
        <v>1384000</v>
      </c>
      <c r="F10" s="5" t="s">
        <v>51</v>
      </c>
      <c r="G10">
        <v>8</v>
      </c>
    </row>
    <row r="11" spans="1:18" x14ac:dyDescent="0.25">
      <c r="F11" s="5" t="s">
        <v>71</v>
      </c>
      <c r="G11">
        <v>5</v>
      </c>
    </row>
    <row r="12" spans="1:18" x14ac:dyDescent="0.25">
      <c r="F12" s="5" t="s">
        <v>62</v>
      </c>
      <c r="G12">
        <v>4</v>
      </c>
    </row>
    <row r="13" spans="1:18" x14ac:dyDescent="0.25">
      <c r="F13" s="5" t="s">
        <v>28</v>
      </c>
      <c r="G13">
        <v>8</v>
      </c>
    </row>
    <row r="14" spans="1:18" x14ac:dyDescent="0.25">
      <c r="F14" s="5" t="s">
        <v>22</v>
      </c>
      <c r="G14">
        <v>6</v>
      </c>
    </row>
    <row r="15" spans="1:18" x14ac:dyDescent="0.25">
      <c r="F15" s="5" t="s">
        <v>55</v>
      </c>
      <c r="G15">
        <v>8</v>
      </c>
    </row>
    <row r="16" spans="1:18" x14ac:dyDescent="0.25">
      <c r="F16" s="5" t="s">
        <v>60</v>
      </c>
      <c r="G16">
        <v>4</v>
      </c>
    </row>
    <row r="17" spans="6:10" x14ac:dyDescent="0.25">
      <c r="F17" s="5" t="s">
        <v>66</v>
      </c>
      <c r="G17">
        <v>5</v>
      </c>
    </row>
    <row r="18" spans="6:10" x14ac:dyDescent="0.25">
      <c r="F18" s="5" t="s">
        <v>35</v>
      </c>
      <c r="G18">
        <v>7</v>
      </c>
    </row>
    <row r="19" spans="6:10" x14ac:dyDescent="0.25">
      <c r="F19" s="5" t="s">
        <v>12</v>
      </c>
      <c r="G19">
        <v>2</v>
      </c>
    </row>
    <row r="20" spans="6:10" x14ac:dyDescent="0.25">
      <c r="F20" s="5" t="s">
        <v>49</v>
      </c>
      <c r="G20">
        <v>4</v>
      </c>
    </row>
    <row r="21" spans="6:10" x14ac:dyDescent="0.25">
      <c r="F21" s="5" t="s">
        <v>39</v>
      </c>
      <c r="G21">
        <v>3</v>
      </c>
    </row>
    <row r="22" spans="6:10" x14ac:dyDescent="0.25">
      <c r="F22" s="5" t="s">
        <v>69</v>
      </c>
      <c r="G22">
        <v>5</v>
      </c>
    </row>
    <row r="23" spans="6:10" x14ac:dyDescent="0.25">
      <c r="F23" s="5" t="s">
        <v>17</v>
      </c>
      <c r="G23">
        <v>6</v>
      </c>
    </row>
    <row r="24" spans="6:10" x14ac:dyDescent="0.25">
      <c r="F24" s="5" t="s">
        <v>57</v>
      </c>
      <c r="G24">
        <v>8</v>
      </c>
    </row>
    <row r="25" spans="6:10" x14ac:dyDescent="0.25">
      <c r="F25" s="5" t="s">
        <v>53</v>
      </c>
      <c r="G25">
        <v>8</v>
      </c>
    </row>
    <row r="26" spans="6:10" x14ac:dyDescent="0.25">
      <c r="F26" s="5" t="s">
        <v>45</v>
      </c>
      <c r="G26">
        <v>1</v>
      </c>
    </row>
    <row r="27" spans="6:10" x14ac:dyDescent="0.25">
      <c r="F27" s="5" t="s">
        <v>26</v>
      </c>
      <c r="G27">
        <v>6</v>
      </c>
    </row>
    <row r="28" spans="6:10" x14ac:dyDescent="0.25">
      <c r="F28" s="5" t="s">
        <v>37</v>
      </c>
      <c r="G28">
        <v>7</v>
      </c>
    </row>
    <row r="29" spans="6:10" ht="28.5" x14ac:dyDescent="0.45">
      <c r="F29" s="5" t="s">
        <v>75</v>
      </c>
      <c r="G29">
        <v>5</v>
      </c>
      <c r="J29" s="10"/>
    </row>
    <row r="30" spans="6:10" x14ac:dyDescent="0.25">
      <c r="F30" s="5" t="s">
        <v>64</v>
      </c>
      <c r="G30">
        <v>4</v>
      </c>
    </row>
    <row r="31" spans="6:10" x14ac:dyDescent="0.25">
      <c r="F31" s="5" t="s">
        <v>33</v>
      </c>
      <c r="G31">
        <v>8</v>
      </c>
    </row>
    <row r="32" spans="6:10" x14ac:dyDescent="0.25">
      <c r="F32" s="5" t="s">
        <v>73</v>
      </c>
      <c r="G32">
        <v>5</v>
      </c>
    </row>
    <row r="33" spans="6:6" x14ac:dyDescent="0.25">
      <c r="F33" s="5" t="s">
        <v>150</v>
      </c>
    </row>
  </sheetData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094FB-8233-4D46-B101-C51895F97502}">
  <dimension ref="A1"/>
  <sheetViews>
    <sheetView tabSelected="1" zoomScale="84" workbookViewId="0">
      <selection activeCell="R19" sqref="R19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1A20E-1BB6-4783-A294-169178561D32}">
  <dimension ref="A1:D11"/>
  <sheetViews>
    <sheetView topLeftCell="A2" zoomScale="141" workbookViewId="0">
      <selection activeCell="C16" sqref="C16"/>
    </sheetView>
  </sheetViews>
  <sheetFormatPr defaultRowHeight="15" x14ac:dyDescent="0.25"/>
  <cols>
    <col min="1" max="1" width="45.85546875" bestFit="1" customWidth="1"/>
    <col min="2" max="2" width="21.5703125" style="7" bestFit="1" customWidth="1"/>
    <col min="3" max="3" width="68.5703125" bestFit="1" customWidth="1"/>
    <col min="4" max="4" width="82.42578125" bestFit="1" customWidth="1"/>
  </cols>
  <sheetData>
    <row r="1" spans="1:4" x14ac:dyDescent="0.25">
      <c r="A1" t="s">
        <v>155</v>
      </c>
      <c r="B1" s="7" t="s">
        <v>156</v>
      </c>
      <c r="C1" t="s">
        <v>157</v>
      </c>
      <c r="D1" t="s">
        <v>158</v>
      </c>
    </row>
    <row r="2" spans="1:4" ht="45" x14ac:dyDescent="0.25">
      <c r="A2" t="s">
        <v>159</v>
      </c>
      <c r="B2" s="8" t="s">
        <v>177</v>
      </c>
      <c r="C2" t="s">
        <v>160</v>
      </c>
      <c r="D2" s="9" t="s">
        <v>178</v>
      </c>
    </row>
    <row r="3" spans="1:4" x14ac:dyDescent="0.25">
      <c r="A3" t="s">
        <v>161</v>
      </c>
      <c r="B3" s="7" t="s">
        <v>162</v>
      </c>
      <c r="C3" t="s">
        <v>163</v>
      </c>
      <c r="D3" t="s">
        <v>164</v>
      </c>
    </row>
    <row r="4" spans="1:4" x14ac:dyDescent="0.25">
      <c r="A4" t="s">
        <v>165</v>
      </c>
      <c r="B4" s="7" t="s">
        <v>162</v>
      </c>
      <c r="C4" t="s">
        <v>166</v>
      </c>
      <c r="D4" t="s">
        <v>167</v>
      </c>
    </row>
    <row r="5" spans="1:4" x14ac:dyDescent="0.25">
      <c r="A5" t="s">
        <v>168</v>
      </c>
      <c r="B5" s="7" t="s">
        <v>169</v>
      </c>
      <c r="C5" t="s">
        <v>170</v>
      </c>
      <c r="D5" t="s">
        <v>179</v>
      </c>
    </row>
    <row r="6" spans="1:4" ht="45" x14ac:dyDescent="0.25">
      <c r="A6" t="s">
        <v>181</v>
      </c>
      <c r="B6" s="8" t="s">
        <v>182</v>
      </c>
      <c r="C6" t="s">
        <v>183</v>
      </c>
      <c r="D6" s="9" t="s">
        <v>184</v>
      </c>
    </row>
    <row r="7" spans="1:4" ht="30" x14ac:dyDescent="0.25">
      <c r="A7" t="s">
        <v>185</v>
      </c>
      <c r="B7" s="8" t="s">
        <v>188</v>
      </c>
      <c r="C7" s="7" t="s">
        <v>186</v>
      </c>
      <c r="D7" s="9" t="s">
        <v>187</v>
      </c>
    </row>
    <row r="8" spans="1:4" x14ac:dyDescent="0.25">
      <c r="A8" t="s">
        <v>171</v>
      </c>
      <c r="B8" s="7" t="s">
        <v>172</v>
      </c>
      <c r="C8" t="s">
        <v>173</v>
      </c>
      <c r="D8" t="s">
        <v>174</v>
      </c>
    </row>
    <row r="9" spans="1:4" ht="30" x14ac:dyDescent="0.25">
      <c r="A9" t="s">
        <v>175</v>
      </c>
      <c r="B9" s="8" t="s">
        <v>180</v>
      </c>
      <c r="C9" t="s">
        <v>176</v>
      </c>
      <c r="D9">
        <f>G2-F2</f>
        <v>0</v>
      </c>
    </row>
    <row r="10" spans="1:4" ht="30" x14ac:dyDescent="0.25">
      <c r="A10" t="s">
        <v>191</v>
      </c>
      <c r="B10" s="8" t="s">
        <v>189</v>
      </c>
      <c r="C10" t="s">
        <v>192</v>
      </c>
      <c r="D10" s="9" t="s">
        <v>190</v>
      </c>
    </row>
    <row r="11" spans="1:4" ht="45" x14ac:dyDescent="0.25">
      <c r="A11" t="s">
        <v>159</v>
      </c>
      <c r="B11" s="8" t="s">
        <v>194</v>
      </c>
      <c r="C11" t="s">
        <v>195</v>
      </c>
      <c r="D11" s="9" t="s">
        <v>193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83FFE68-476C-4207-886A-886510FA44E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Healtcare data before cleaning</vt:lpstr>
      <vt:lpstr>Healthcare data after cleaning</vt:lpstr>
      <vt:lpstr>Analysis</vt:lpstr>
      <vt:lpstr>Heathcare Dashboard</vt:lpstr>
      <vt:lpstr>Formula and Structures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janani R</dc:creator>
  <cp:lastModifiedBy>janani R</cp:lastModifiedBy>
  <cp:lastPrinted>2025-11-22T03:37:29Z</cp:lastPrinted>
  <dcterms:created xsi:type="dcterms:W3CDTF">2025-11-21T12:09:06Z</dcterms:created>
  <dcterms:modified xsi:type="dcterms:W3CDTF">2025-12-05T15:08:27Z</dcterms:modified>
</cp:coreProperties>
</file>